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1_data_cleaning\data\"/>
    </mc:Choice>
  </mc:AlternateContent>
  <xr:revisionPtr revIDLastSave="0" documentId="13_ncr:1_{8B466086-8F26-4267-B717-48CC6A9466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raw_orders!$A$1:$AF$913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T3" i="1"/>
  <c r="V3" i="1" s="1"/>
  <c r="T4" i="1"/>
  <c r="V4" i="1" s="1"/>
  <c r="T5" i="1"/>
  <c r="V5" i="1" s="1"/>
  <c r="T6" i="1"/>
  <c r="V6" i="1" s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Z12" i="1" s="1"/>
  <c r="T13" i="1"/>
  <c r="V13" i="1" s="1"/>
  <c r="Z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Z20" i="1" s="1"/>
  <c r="T21" i="1"/>
  <c r="V21" i="1" s="1"/>
  <c r="Z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Z28" i="1" s="1"/>
  <c r="T29" i="1"/>
  <c r="V29" i="1" s="1"/>
  <c r="Z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Z36" i="1" s="1"/>
  <c r="T37" i="1"/>
  <c r="V37" i="1" s="1"/>
  <c r="Z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Z44" i="1" s="1"/>
  <c r="T45" i="1"/>
  <c r="V45" i="1" s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Z52" i="1" s="1"/>
  <c r="T53" i="1"/>
  <c r="V53" i="1" s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Z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Z68" i="1" s="1"/>
  <c r="T69" i="1"/>
  <c r="V69" i="1" s="1"/>
  <c r="T70" i="1"/>
  <c r="V70" i="1" s="1"/>
  <c r="Z70" i="1" s="1"/>
  <c r="T71" i="1"/>
  <c r="V71" i="1" s="1"/>
  <c r="T72" i="1"/>
  <c r="V72" i="1" s="1"/>
  <c r="T73" i="1"/>
  <c r="V73" i="1" s="1"/>
  <c r="T74" i="1"/>
  <c r="V74" i="1" s="1"/>
  <c r="T75" i="1"/>
  <c r="V75" i="1" s="1"/>
  <c r="T76" i="1"/>
  <c r="V76" i="1" s="1"/>
  <c r="Z76" i="1" s="1"/>
  <c r="T77" i="1"/>
  <c r="V77" i="1" s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Z84" i="1" s="1"/>
  <c r="T85" i="1"/>
  <c r="V85" i="1" s="1"/>
  <c r="Z85" i="1" s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Z92" i="1" s="1"/>
  <c r="T93" i="1"/>
  <c r="V93" i="1" s="1"/>
  <c r="Z93" i="1" s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0" i="1"/>
  <c r="V100" i="1" s="1"/>
  <c r="Z100" i="1" s="1"/>
  <c r="T101" i="1"/>
  <c r="V101" i="1" s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8" i="1"/>
  <c r="V108" i="1" s="1"/>
  <c r="Z108" i="1" s="1"/>
  <c r="T109" i="1"/>
  <c r="V109" i="1" s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Z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Z124" i="1" s="1"/>
  <c r="T125" i="1"/>
  <c r="V125" i="1" s="1"/>
  <c r="T126" i="1"/>
  <c r="V126" i="1" s="1"/>
  <c r="Z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Z132" i="1" s="1"/>
  <c r="T133" i="1"/>
  <c r="V133" i="1" s="1"/>
  <c r="T134" i="1"/>
  <c r="V134" i="1" s="1"/>
  <c r="Z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Z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Z148" i="1" s="1"/>
  <c r="T149" i="1"/>
  <c r="V149" i="1" s="1"/>
  <c r="Z149" i="1" s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Z156" i="1" s="1"/>
  <c r="T157" i="1"/>
  <c r="V157" i="1" s="1"/>
  <c r="Z157" i="1" s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Z164" i="1" s="1"/>
  <c r="T165" i="1"/>
  <c r="V165" i="1" s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Z172" i="1" s="1"/>
  <c r="T173" i="1"/>
  <c r="V173" i="1" s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Z180" i="1" s="1"/>
  <c r="T181" i="1"/>
  <c r="V181" i="1" s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Z188" i="1" s="1"/>
  <c r="T189" i="1"/>
  <c r="V189" i="1" s="1"/>
  <c r="T190" i="1"/>
  <c r="V190" i="1" s="1"/>
  <c r="Z190" i="1" s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Z196" i="1" s="1"/>
  <c r="T197" i="1"/>
  <c r="V197" i="1" s="1"/>
  <c r="T198" i="1"/>
  <c r="V198" i="1" s="1"/>
  <c r="Z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Z204" i="1" s="1"/>
  <c r="T205" i="1"/>
  <c r="V205" i="1" s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Z212" i="1" s="1"/>
  <c r="T213" i="1"/>
  <c r="V213" i="1" s="1"/>
  <c r="Z213" i="1" s="1"/>
  <c r="AB213" i="1" s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Z220" i="1" s="1"/>
  <c r="T221" i="1"/>
  <c r="V221" i="1" s="1"/>
  <c r="Z221" i="1" s="1"/>
  <c r="AB221" i="1" s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Z228" i="1" s="1"/>
  <c r="T229" i="1"/>
  <c r="V229" i="1" s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Z236" i="1" s="1"/>
  <c r="T237" i="1"/>
  <c r="V237" i="1" s="1"/>
  <c r="T238" i="1"/>
  <c r="V238" i="1" s="1"/>
  <c r="T239" i="1"/>
  <c r="V239" i="1" s="1"/>
  <c r="T240" i="1"/>
  <c r="V240" i="1" s="1"/>
  <c r="T241" i="1"/>
  <c r="V241" i="1" s="1"/>
  <c r="T242" i="1"/>
  <c r="V242" i="1" s="1"/>
  <c r="T243" i="1"/>
  <c r="V243" i="1" s="1"/>
  <c r="T244" i="1"/>
  <c r="V244" i="1" s="1"/>
  <c r="Z244" i="1" s="1"/>
  <c r="T245" i="1"/>
  <c r="V245" i="1" s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Z252" i="1" s="1"/>
  <c r="T253" i="1"/>
  <c r="V253" i="1" s="1"/>
  <c r="T254" i="1"/>
  <c r="V254" i="1" s="1"/>
  <c r="Z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Z260" i="1" s="1"/>
  <c r="T261" i="1"/>
  <c r="V261" i="1" s="1"/>
  <c r="T262" i="1"/>
  <c r="V262" i="1" s="1"/>
  <c r="Z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Z268" i="1" s="1"/>
  <c r="T269" i="1"/>
  <c r="V269" i="1" s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V277" i="1" s="1"/>
  <c r="Z277" i="1" s="1"/>
  <c r="AB277" i="1" s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V285" i="1" s="1"/>
  <c r="Z285" i="1" s="1"/>
  <c r="AB285" i="1" s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V293" i="1" s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0" i="1"/>
  <c r="V300" i="1" s="1"/>
  <c r="Z300" i="1" s="1"/>
  <c r="T301" i="1"/>
  <c r="V301" i="1" s="1"/>
  <c r="T302" i="1"/>
  <c r="V302" i="1" s="1"/>
  <c r="T303" i="1"/>
  <c r="V303" i="1" s="1"/>
  <c r="T304" i="1"/>
  <c r="V304" i="1" s="1"/>
  <c r="T305" i="1"/>
  <c r="V305" i="1" s="1"/>
  <c r="T306" i="1"/>
  <c r="V306" i="1" s="1"/>
  <c r="T307" i="1"/>
  <c r="V307" i="1" s="1"/>
  <c r="T308" i="1"/>
  <c r="V308" i="1" s="1"/>
  <c r="Z308" i="1" s="1"/>
  <c r="T309" i="1"/>
  <c r="V309" i="1" s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V317" i="1" s="1"/>
  <c r="T318" i="1"/>
  <c r="V318" i="1" s="1"/>
  <c r="Z318" i="1" s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V325" i="1" s="1"/>
  <c r="T326" i="1"/>
  <c r="V326" i="1" s="1"/>
  <c r="Z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V333" i="1" s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V341" i="1" s="1"/>
  <c r="Z341" i="1" s="1"/>
  <c r="AB341" i="1" s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V349" i="1" s="1"/>
  <c r="Z349" i="1" s="1"/>
  <c r="AB349" i="1" s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V357" i="1" s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Z364" i="1" s="1"/>
  <c r="T365" i="1"/>
  <c r="V365" i="1" s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Z372" i="1" s="1"/>
  <c r="T373" i="1"/>
  <c r="V373" i="1" s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V381" i="1" s="1"/>
  <c r="T382" i="1"/>
  <c r="V382" i="1" s="1"/>
  <c r="Z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V389" i="1" s="1"/>
  <c r="T390" i="1"/>
  <c r="V390" i="1" s="1"/>
  <c r="Z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V397" i="1" s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V405" i="1" s="1"/>
  <c r="Z405" i="1" s="1"/>
  <c r="AB405" i="1" s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V413" i="1" s="1"/>
  <c r="Z413" i="1" s="1"/>
  <c r="AB413" i="1" s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V419" i="1" s="1"/>
  <c r="T420" i="1"/>
  <c r="V420" i="1" s="1"/>
  <c r="T421" i="1"/>
  <c r="V421" i="1" s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Z428" i="1" s="1"/>
  <c r="T429" i="1"/>
  <c r="V429" i="1" s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Z436" i="1" s="1"/>
  <c r="T437" i="1"/>
  <c r="V437" i="1" s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V445" i="1" s="1"/>
  <c r="T446" i="1"/>
  <c r="V446" i="1" s="1"/>
  <c r="Z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V453" i="1" s="1"/>
  <c r="T454" i="1"/>
  <c r="V454" i="1" s="1"/>
  <c r="Z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V461" i="1" s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V469" i="1" s="1"/>
  <c r="Z469" i="1" s="1"/>
  <c r="AB469" i="1" s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V477" i="1" s="1"/>
  <c r="Z477" i="1" s="1"/>
  <c r="AB477" i="1" s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V485" i="1" s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Z492" i="1" s="1"/>
  <c r="T493" i="1"/>
  <c r="V493" i="1" s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Z500" i="1" s="1"/>
  <c r="T501" i="1"/>
  <c r="V501" i="1" s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V509" i="1" s="1"/>
  <c r="T510" i="1"/>
  <c r="V510" i="1" s="1"/>
  <c r="Z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V517" i="1" s="1"/>
  <c r="T518" i="1"/>
  <c r="V518" i="1" s="1"/>
  <c r="Z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V525" i="1" s="1"/>
  <c r="T526" i="1"/>
  <c r="V526" i="1" s="1"/>
  <c r="T527" i="1"/>
  <c r="V527" i="1" s="1"/>
  <c r="T528" i="1"/>
  <c r="V528" i="1" s="1"/>
  <c r="T529" i="1"/>
  <c r="V529" i="1" s="1"/>
  <c r="T530" i="1"/>
  <c r="V530" i="1" s="1"/>
  <c r="T531" i="1"/>
  <c r="V531" i="1" s="1"/>
  <c r="T532" i="1"/>
  <c r="V532" i="1" s="1"/>
  <c r="T533" i="1"/>
  <c r="V533" i="1" s="1"/>
  <c r="Z533" i="1" s="1"/>
  <c r="AB533" i="1" s="1"/>
  <c r="T534" i="1"/>
  <c r="V534" i="1" s="1"/>
  <c r="T535" i="1"/>
  <c r="V535" i="1" s="1"/>
  <c r="T536" i="1"/>
  <c r="V536" i="1" s="1"/>
  <c r="T537" i="1"/>
  <c r="V537" i="1" s="1"/>
  <c r="T538" i="1"/>
  <c r="V538" i="1" s="1"/>
  <c r="T539" i="1"/>
  <c r="V539" i="1" s="1"/>
  <c r="T540" i="1"/>
  <c r="V540" i="1" s="1"/>
  <c r="T541" i="1"/>
  <c r="V541" i="1" s="1"/>
  <c r="Z541" i="1" s="1"/>
  <c r="AB541" i="1" s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V547" i="1" s="1"/>
  <c r="T548" i="1"/>
  <c r="V548" i="1" s="1"/>
  <c r="T549" i="1"/>
  <c r="V549" i="1" s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556" i="1"/>
  <c r="V556" i="1" s="1"/>
  <c r="Z556" i="1" s="1"/>
  <c r="T557" i="1"/>
  <c r="V557" i="1" s="1"/>
  <c r="T558" i="1"/>
  <c r="V558" i="1" s="1"/>
  <c r="T559" i="1"/>
  <c r="V559" i="1" s="1"/>
  <c r="T560" i="1"/>
  <c r="V560" i="1" s="1"/>
  <c r="T561" i="1"/>
  <c r="V561" i="1" s="1"/>
  <c r="T562" i="1"/>
  <c r="V562" i="1" s="1"/>
  <c r="T563" i="1"/>
  <c r="V563" i="1" s="1"/>
  <c r="T564" i="1"/>
  <c r="V564" i="1" s="1"/>
  <c r="Z564" i="1" s="1"/>
  <c r="T565" i="1"/>
  <c r="V565" i="1" s="1"/>
  <c r="T566" i="1"/>
  <c r="V566" i="1" s="1"/>
  <c r="T567" i="1"/>
  <c r="V567" i="1" s="1"/>
  <c r="T568" i="1"/>
  <c r="V568" i="1" s="1"/>
  <c r="T569" i="1"/>
  <c r="V569" i="1" s="1"/>
  <c r="T570" i="1"/>
  <c r="V570" i="1" s="1"/>
  <c r="T571" i="1"/>
  <c r="V571" i="1" s="1"/>
  <c r="T572" i="1"/>
  <c r="V572" i="1" s="1"/>
  <c r="T573" i="1"/>
  <c r="V573" i="1" s="1"/>
  <c r="T574" i="1"/>
  <c r="V574" i="1" s="1"/>
  <c r="Z574" i="1" s="1"/>
  <c r="T575" i="1"/>
  <c r="V575" i="1" s="1"/>
  <c r="T576" i="1"/>
  <c r="V576" i="1" s="1"/>
  <c r="T577" i="1"/>
  <c r="V577" i="1" s="1"/>
  <c r="T578" i="1"/>
  <c r="V578" i="1" s="1"/>
  <c r="T579" i="1"/>
  <c r="V579" i="1" s="1"/>
  <c r="T580" i="1"/>
  <c r="V580" i="1" s="1"/>
  <c r="T581" i="1"/>
  <c r="V581" i="1" s="1"/>
  <c r="T582" i="1"/>
  <c r="V582" i="1" s="1"/>
  <c r="Z582" i="1" s="1"/>
  <c r="T583" i="1"/>
  <c r="V583" i="1" s="1"/>
  <c r="T584" i="1"/>
  <c r="V584" i="1" s="1"/>
  <c r="T585" i="1"/>
  <c r="V585" i="1" s="1"/>
  <c r="T586" i="1"/>
  <c r="V586" i="1" s="1"/>
  <c r="T587" i="1"/>
  <c r="V587" i="1" s="1"/>
  <c r="T588" i="1"/>
  <c r="V588" i="1" s="1"/>
  <c r="T589" i="1"/>
  <c r="V589" i="1" s="1"/>
  <c r="T590" i="1"/>
  <c r="V590" i="1" s="1"/>
  <c r="T591" i="1"/>
  <c r="V591" i="1" s="1"/>
  <c r="T592" i="1"/>
  <c r="V592" i="1" s="1"/>
  <c r="T593" i="1"/>
  <c r="V593" i="1" s="1"/>
  <c r="T594" i="1"/>
  <c r="V594" i="1" s="1"/>
  <c r="T595" i="1"/>
  <c r="V595" i="1" s="1"/>
  <c r="T596" i="1"/>
  <c r="V596" i="1" s="1"/>
  <c r="T597" i="1"/>
  <c r="V597" i="1" s="1"/>
  <c r="Z597" i="1" s="1"/>
  <c r="AB597" i="1" s="1"/>
  <c r="T598" i="1"/>
  <c r="V598" i="1" s="1"/>
  <c r="T599" i="1"/>
  <c r="V599" i="1" s="1"/>
  <c r="T600" i="1"/>
  <c r="V600" i="1" s="1"/>
  <c r="T601" i="1"/>
  <c r="V601" i="1" s="1"/>
  <c r="T602" i="1"/>
  <c r="V602" i="1" s="1"/>
  <c r="T603" i="1"/>
  <c r="V603" i="1" s="1"/>
  <c r="T604" i="1"/>
  <c r="V604" i="1" s="1"/>
  <c r="T605" i="1"/>
  <c r="V605" i="1" s="1"/>
  <c r="Z605" i="1" s="1"/>
  <c r="AB605" i="1" s="1"/>
  <c r="T606" i="1"/>
  <c r="V606" i="1" s="1"/>
  <c r="T607" i="1"/>
  <c r="V607" i="1" s="1"/>
  <c r="T608" i="1"/>
  <c r="V608" i="1" s="1"/>
  <c r="T609" i="1"/>
  <c r="V609" i="1" s="1"/>
  <c r="T610" i="1"/>
  <c r="V610" i="1" s="1"/>
  <c r="T611" i="1"/>
  <c r="V611" i="1" s="1"/>
  <c r="T612" i="1"/>
  <c r="V612" i="1" s="1"/>
  <c r="T613" i="1"/>
  <c r="V613" i="1" s="1"/>
  <c r="T614" i="1"/>
  <c r="V614" i="1" s="1"/>
  <c r="T615" i="1"/>
  <c r="V615" i="1" s="1"/>
  <c r="T616" i="1"/>
  <c r="V616" i="1" s="1"/>
  <c r="T617" i="1"/>
  <c r="V617" i="1" s="1"/>
  <c r="T618" i="1"/>
  <c r="V618" i="1" s="1"/>
  <c r="T619" i="1"/>
  <c r="V619" i="1" s="1"/>
  <c r="T620" i="1"/>
  <c r="V620" i="1" s="1"/>
  <c r="Z620" i="1" s="1"/>
  <c r="T621" i="1"/>
  <c r="V621" i="1" s="1"/>
  <c r="T622" i="1"/>
  <c r="V622" i="1" s="1"/>
  <c r="T623" i="1"/>
  <c r="V623" i="1" s="1"/>
  <c r="T624" i="1"/>
  <c r="V624" i="1" s="1"/>
  <c r="T625" i="1"/>
  <c r="V625" i="1" s="1"/>
  <c r="T626" i="1"/>
  <c r="V626" i="1" s="1"/>
  <c r="T627" i="1"/>
  <c r="V627" i="1" s="1"/>
  <c r="T628" i="1"/>
  <c r="V628" i="1" s="1"/>
  <c r="Z628" i="1" s="1"/>
  <c r="T629" i="1"/>
  <c r="V629" i="1" s="1"/>
  <c r="T630" i="1"/>
  <c r="V630" i="1" s="1"/>
  <c r="T631" i="1"/>
  <c r="V631" i="1" s="1"/>
  <c r="T632" i="1"/>
  <c r="V632" i="1" s="1"/>
  <c r="T633" i="1"/>
  <c r="V633" i="1" s="1"/>
  <c r="T634" i="1"/>
  <c r="V634" i="1" s="1"/>
  <c r="T635" i="1"/>
  <c r="V635" i="1" s="1"/>
  <c r="T636" i="1"/>
  <c r="V636" i="1" s="1"/>
  <c r="T637" i="1"/>
  <c r="V637" i="1" s="1"/>
  <c r="T638" i="1"/>
  <c r="V638" i="1" s="1"/>
  <c r="Z638" i="1" s="1"/>
  <c r="T639" i="1"/>
  <c r="V639" i="1" s="1"/>
  <c r="T640" i="1"/>
  <c r="V640" i="1" s="1"/>
  <c r="T641" i="1"/>
  <c r="V641" i="1" s="1"/>
  <c r="T642" i="1"/>
  <c r="V642" i="1" s="1"/>
  <c r="T643" i="1"/>
  <c r="V643" i="1" s="1"/>
  <c r="T644" i="1"/>
  <c r="V644" i="1" s="1"/>
  <c r="T645" i="1"/>
  <c r="V645" i="1" s="1"/>
  <c r="T646" i="1"/>
  <c r="V646" i="1" s="1"/>
  <c r="Z646" i="1" s="1"/>
  <c r="T647" i="1"/>
  <c r="V647" i="1" s="1"/>
  <c r="T648" i="1"/>
  <c r="V648" i="1" s="1"/>
  <c r="T649" i="1"/>
  <c r="V649" i="1" s="1"/>
  <c r="T650" i="1"/>
  <c r="V650" i="1" s="1"/>
  <c r="T651" i="1"/>
  <c r="V651" i="1" s="1"/>
  <c r="T652" i="1"/>
  <c r="V652" i="1" s="1"/>
  <c r="T653" i="1"/>
  <c r="V653" i="1" s="1"/>
  <c r="T654" i="1"/>
  <c r="V654" i="1" s="1"/>
  <c r="T655" i="1"/>
  <c r="V655" i="1" s="1"/>
  <c r="T656" i="1"/>
  <c r="V656" i="1" s="1"/>
  <c r="T657" i="1"/>
  <c r="V657" i="1" s="1"/>
  <c r="T658" i="1"/>
  <c r="V658" i="1" s="1"/>
  <c r="T659" i="1"/>
  <c r="V659" i="1" s="1"/>
  <c r="T660" i="1"/>
  <c r="V660" i="1" s="1"/>
  <c r="T661" i="1"/>
  <c r="V661" i="1" s="1"/>
  <c r="Z661" i="1" s="1"/>
  <c r="AB661" i="1" s="1"/>
  <c r="T662" i="1"/>
  <c r="V662" i="1" s="1"/>
  <c r="T663" i="1"/>
  <c r="V663" i="1" s="1"/>
  <c r="T664" i="1"/>
  <c r="V664" i="1" s="1"/>
  <c r="T665" i="1"/>
  <c r="V665" i="1" s="1"/>
  <c r="T666" i="1"/>
  <c r="V666" i="1" s="1"/>
  <c r="T667" i="1"/>
  <c r="V667" i="1" s="1"/>
  <c r="T668" i="1"/>
  <c r="V668" i="1" s="1"/>
  <c r="T669" i="1"/>
  <c r="V669" i="1" s="1"/>
  <c r="Z669" i="1" s="1"/>
  <c r="AB669" i="1" s="1"/>
  <c r="T670" i="1"/>
  <c r="V670" i="1" s="1"/>
  <c r="T671" i="1"/>
  <c r="V671" i="1" s="1"/>
  <c r="T672" i="1"/>
  <c r="V672" i="1" s="1"/>
  <c r="T673" i="1"/>
  <c r="V673" i="1" s="1"/>
  <c r="T674" i="1"/>
  <c r="V674" i="1" s="1"/>
  <c r="T675" i="1"/>
  <c r="V675" i="1" s="1"/>
  <c r="T676" i="1"/>
  <c r="V676" i="1" s="1"/>
  <c r="T677" i="1"/>
  <c r="V677" i="1" s="1"/>
  <c r="T678" i="1"/>
  <c r="V678" i="1" s="1"/>
  <c r="T679" i="1"/>
  <c r="V679" i="1" s="1"/>
  <c r="T680" i="1"/>
  <c r="V680" i="1" s="1"/>
  <c r="T681" i="1"/>
  <c r="V681" i="1" s="1"/>
  <c r="T682" i="1"/>
  <c r="V682" i="1" s="1"/>
  <c r="T683" i="1"/>
  <c r="V683" i="1" s="1"/>
  <c r="Z683" i="1" s="1"/>
  <c r="AB683" i="1" s="1"/>
  <c r="T684" i="1"/>
  <c r="V684" i="1" s="1"/>
  <c r="T685" i="1"/>
  <c r="V685" i="1" s="1"/>
  <c r="T686" i="1"/>
  <c r="V686" i="1" s="1"/>
  <c r="Z686" i="1" s="1"/>
  <c r="AB686" i="1" s="1"/>
  <c r="T687" i="1"/>
  <c r="V687" i="1" s="1"/>
  <c r="T688" i="1"/>
  <c r="V688" i="1" s="1"/>
  <c r="T689" i="1"/>
  <c r="V689" i="1" s="1"/>
  <c r="T690" i="1"/>
  <c r="V690" i="1" s="1"/>
  <c r="T691" i="1"/>
  <c r="V691" i="1" s="1"/>
  <c r="Z691" i="1" s="1"/>
  <c r="AB691" i="1" s="1"/>
  <c r="T692" i="1"/>
  <c r="V692" i="1" s="1"/>
  <c r="T693" i="1"/>
  <c r="V693" i="1" s="1"/>
  <c r="T694" i="1"/>
  <c r="V694" i="1" s="1"/>
  <c r="Z694" i="1" s="1"/>
  <c r="AB694" i="1" s="1"/>
  <c r="T695" i="1"/>
  <c r="V695" i="1" s="1"/>
  <c r="T696" i="1"/>
  <c r="V696" i="1" s="1"/>
  <c r="T697" i="1"/>
  <c r="V697" i="1" s="1"/>
  <c r="T698" i="1"/>
  <c r="V698" i="1" s="1"/>
  <c r="T699" i="1"/>
  <c r="V699" i="1" s="1"/>
  <c r="Z699" i="1" s="1"/>
  <c r="AB699" i="1" s="1"/>
  <c r="T700" i="1"/>
  <c r="V700" i="1" s="1"/>
  <c r="T701" i="1"/>
  <c r="V701" i="1" s="1"/>
  <c r="T702" i="1"/>
  <c r="V702" i="1" s="1"/>
  <c r="Z702" i="1" s="1"/>
  <c r="AB702" i="1" s="1"/>
  <c r="T703" i="1"/>
  <c r="V703" i="1" s="1"/>
  <c r="T704" i="1"/>
  <c r="V704" i="1" s="1"/>
  <c r="T705" i="1"/>
  <c r="V705" i="1" s="1"/>
  <c r="T706" i="1"/>
  <c r="V706" i="1" s="1"/>
  <c r="T707" i="1"/>
  <c r="V707" i="1" s="1"/>
  <c r="Z707" i="1" s="1"/>
  <c r="AB707" i="1" s="1"/>
  <c r="T708" i="1"/>
  <c r="V708" i="1" s="1"/>
  <c r="T709" i="1"/>
  <c r="V709" i="1" s="1"/>
  <c r="T710" i="1"/>
  <c r="V710" i="1" s="1"/>
  <c r="Z710" i="1" s="1"/>
  <c r="AB710" i="1" s="1"/>
  <c r="T711" i="1"/>
  <c r="V711" i="1" s="1"/>
  <c r="T712" i="1"/>
  <c r="V712" i="1" s="1"/>
  <c r="T713" i="1"/>
  <c r="V713" i="1" s="1"/>
  <c r="T714" i="1"/>
  <c r="V714" i="1" s="1"/>
  <c r="T715" i="1"/>
  <c r="V715" i="1" s="1"/>
  <c r="Z715" i="1" s="1"/>
  <c r="AB715" i="1" s="1"/>
  <c r="T716" i="1"/>
  <c r="V716" i="1" s="1"/>
  <c r="T717" i="1"/>
  <c r="V717" i="1" s="1"/>
  <c r="T718" i="1"/>
  <c r="V718" i="1" s="1"/>
  <c r="Z718" i="1" s="1"/>
  <c r="AB718" i="1" s="1"/>
  <c r="T719" i="1"/>
  <c r="V719" i="1" s="1"/>
  <c r="T720" i="1"/>
  <c r="V720" i="1" s="1"/>
  <c r="T721" i="1"/>
  <c r="V721" i="1" s="1"/>
  <c r="T722" i="1"/>
  <c r="V722" i="1" s="1"/>
  <c r="T723" i="1"/>
  <c r="V723" i="1" s="1"/>
  <c r="Z723" i="1" s="1"/>
  <c r="AB723" i="1" s="1"/>
  <c r="T724" i="1"/>
  <c r="V724" i="1" s="1"/>
  <c r="T725" i="1"/>
  <c r="V725" i="1" s="1"/>
  <c r="T726" i="1"/>
  <c r="V726" i="1" s="1"/>
  <c r="Z726" i="1" s="1"/>
  <c r="AB726" i="1" s="1"/>
  <c r="T727" i="1"/>
  <c r="V727" i="1" s="1"/>
  <c r="T728" i="1"/>
  <c r="V728" i="1" s="1"/>
  <c r="T729" i="1"/>
  <c r="V729" i="1" s="1"/>
  <c r="T730" i="1"/>
  <c r="V730" i="1" s="1"/>
  <c r="T731" i="1"/>
  <c r="V731" i="1" s="1"/>
  <c r="Z731" i="1" s="1"/>
  <c r="AB731" i="1" s="1"/>
  <c r="T732" i="1"/>
  <c r="V732" i="1" s="1"/>
  <c r="T733" i="1"/>
  <c r="V733" i="1" s="1"/>
  <c r="T734" i="1"/>
  <c r="V734" i="1" s="1"/>
  <c r="Z734" i="1" s="1"/>
  <c r="AB734" i="1" s="1"/>
  <c r="T735" i="1"/>
  <c r="V735" i="1" s="1"/>
  <c r="T736" i="1"/>
  <c r="V736" i="1" s="1"/>
  <c r="T737" i="1"/>
  <c r="V737" i="1" s="1"/>
  <c r="T738" i="1"/>
  <c r="V738" i="1" s="1"/>
  <c r="T739" i="1"/>
  <c r="V739" i="1" s="1"/>
  <c r="Z739" i="1" s="1"/>
  <c r="AB739" i="1" s="1"/>
  <c r="T740" i="1"/>
  <c r="V740" i="1" s="1"/>
  <c r="T741" i="1"/>
  <c r="V741" i="1" s="1"/>
  <c r="T742" i="1"/>
  <c r="V742" i="1" s="1"/>
  <c r="Z742" i="1" s="1"/>
  <c r="AB742" i="1" s="1"/>
  <c r="T743" i="1"/>
  <c r="V743" i="1" s="1"/>
  <c r="T744" i="1"/>
  <c r="V744" i="1" s="1"/>
  <c r="T745" i="1"/>
  <c r="V745" i="1" s="1"/>
  <c r="T746" i="1"/>
  <c r="V746" i="1" s="1"/>
  <c r="T747" i="1"/>
  <c r="V747" i="1" s="1"/>
  <c r="Z747" i="1" s="1"/>
  <c r="AB747" i="1" s="1"/>
  <c r="T748" i="1"/>
  <c r="V748" i="1" s="1"/>
  <c r="T749" i="1"/>
  <c r="V749" i="1" s="1"/>
  <c r="T750" i="1"/>
  <c r="V750" i="1" s="1"/>
  <c r="Z750" i="1" s="1"/>
  <c r="AB750" i="1" s="1"/>
  <c r="T751" i="1"/>
  <c r="V751" i="1" s="1"/>
  <c r="T752" i="1"/>
  <c r="V752" i="1" s="1"/>
  <c r="T753" i="1"/>
  <c r="V753" i="1" s="1"/>
  <c r="T754" i="1"/>
  <c r="V754" i="1" s="1"/>
  <c r="T755" i="1"/>
  <c r="V755" i="1" s="1"/>
  <c r="Z755" i="1" s="1"/>
  <c r="AB755" i="1" s="1"/>
  <c r="T756" i="1"/>
  <c r="V756" i="1" s="1"/>
  <c r="T757" i="1"/>
  <c r="V757" i="1" s="1"/>
  <c r="T758" i="1"/>
  <c r="V758" i="1" s="1"/>
  <c r="Z758" i="1" s="1"/>
  <c r="AB758" i="1" s="1"/>
  <c r="T759" i="1"/>
  <c r="V759" i="1" s="1"/>
  <c r="T760" i="1"/>
  <c r="V760" i="1" s="1"/>
  <c r="T761" i="1"/>
  <c r="V761" i="1" s="1"/>
  <c r="T762" i="1"/>
  <c r="V762" i="1" s="1"/>
  <c r="T763" i="1"/>
  <c r="V763" i="1" s="1"/>
  <c r="Z763" i="1" s="1"/>
  <c r="AB763" i="1" s="1"/>
  <c r="T764" i="1"/>
  <c r="V764" i="1" s="1"/>
  <c r="T765" i="1"/>
  <c r="V765" i="1" s="1"/>
  <c r="T766" i="1"/>
  <c r="V766" i="1" s="1"/>
  <c r="Z766" i="1" s="1"/>
  <c r="AB766" i="1" s="1"/>
  <c r="T767" i="1"/>
  <c r="V767" i="1" s="1"/>
  <c r="T768" i="1"/>
  <c r="V768" i="1" s="1"/>
  <c r="T769" i="1"/>
  <c r="V769" i="1" s="1"/>
  <c r="T770" i="1"/>
  <c r="V770" i="1" s="1"/>
  <c r="T771" i="1"/>
  <c r="V771" i="1" s="1"/>
  <c r="Z771" i="1" s="1"/>
  <c r="AB771" i="1" s="1"/>
  <c r="T772" i="1"/>
  <c r="V772" i="1" s="1"/>
  <c r="T773" i="1"/>
  <c r="V773" i="1" s="1"/>
  <c r="T774" i="1"/>
  <c r="V774" i="1" s="1"/>
  <c r="Z774" i="1" s="1"/>
  <c r="AB774" i="1" s="1"/>
  <c r="T775" i="1"/>
  <c r="V775" i="1" s="1"/>
  <c r="T776" i="1"/>
  <c r="V776" i="1" s="1"/>
  <c r="T777" i="1"/>
  <c r="V777" i="1" s="1"/>
  <c r="T778" i="1"/>
  <c r="V778" i="1" s="1"/>
  <c r="T779" i="1"/>
  <c r="V779" i="1" s="1"/>
  <c r="Z779" i="1" s="1"/>
  <c r="AB779" i="1" s="1"/>
  <c r="T780" i="1"/>
  <c r="V780" i="1" s="1"/>
  <c r="T781" i="1"/>
  <c r="V781" i="1" s="1"/>
  <c r="T782" i="1"/>
  <c r="V782" i="1" s="1"/>
  <c r="Z782" i="1" s="1"/>
  <c r="AB782" i="1" s="1"/>
  <c r="T783" i="1"/>
  <c r="V783" i="1" s="1"/>
  <c r="T784" i="1"/>
  <c r="V784" i="1" s="1"/>
  <c r="T785" i="1"/>
  <c r="V785" i="1" s="1"/>
  <c r="T786" i="1"/>
  <c r="V786" i="1" s="1"/>
  <c r="T787" i="1"/>
  <c r="V787" i="1" s="1"/>
  <c r="Z787" i="1" s="1"/>
  <c r="AB787" i="1" s="1"/>
  <c r="T788" i="1"/>
  <c r="V788" i="1" s="1"/>
  <c r="T789" i="1"/>
  <c r="V789" i="1" s="1"/>
  <c r="T790" i="1"/>
  <c r="V790" i="1" s="1"/>
  <c r="Z790" i="1" s="1"/>
  <c r="AB790" i="1" s="1"/>
  <c r="T791" i="1"/>
  <c r="V791" i="1" s="1"/>
  <c r="T792" i="1"/>
  <c r="V792" i="1" s="1"/>
  <c r="T793" i="1"/>
  <c r="V793" i="1" s="1"/>
  <c r="T794" i="1"/>
  <c r="V794" i="1" s="1"/>
  <c r="T795" i="1"/>
  <c r="V795" i="1" s="1"/>
  <c r="Z795" i="1" s="1"/>
  <c r="AB795" i="1" s="1"/>
  <c r="T796" i="1"/>
  <c r="V796" i="1" s="1"/>
  <c r="T797" i="1"/>
  <c r="V797" i="1" s="1"/>
  <c r="T798" i="1"/>
  <c r="V798" i="1" s="1"/>
  <c r="Z798" i="1" s="1"/>
  <c r="AB798" i="1" s="1"/>
  <c r="T799" i="1"/>
  <c r="V799" i="1" s="1"/>
  <c r="T800" i="1"/>
  <c r="V800" i="1" s="1"/>
  <c r="T801" i="1"/>
  <c r="V801" i="1" s="1"/>
  <c r="T802" i="1"/>
  <c r="V802" i="1" s="1"/>
  <c r="T803" i="1"/>
  <c r="V803" i="1" s="1"/>
  <c r="Z803" i="1" s="1"/>
  <c r="AB803" i="1" s="1"/>
  <c r="T804" i="1"/>
  <c r="V804" i="1" s="1"/>
  <c r="T805" i="1"/>
  <c r="V805" i="1" s="1"/>
  <c r="T806" i="1"/>
  <c r="V806" i="1" s="1"/>
  <c r="Z806" i="1" s="1"/>
  <c r="AB806" i="1" s="1"/>
  <c r="T807" i="1"/>
  <c r="V807" i="1" s="1"/>
  <c r="T808" i="1"/>
  <c r="V808" i="1" s="1"/>
  <c r="T809" i="1"/>
  <c r="V809" i="1" s="1"/>
  <c r="T810" i="1"/>
  <c r="V810" i="1" s="1"/>
  <c r="T811" i="1"/>
  <c r="V811" i="1" s="1"/>
  <c r="Z811" i="1" s="1"/>
  <c r="AB811" i="1" s="1"/>
  <c r="T812" i="1"/>
  <c r="V812" i="1" s="1"/>
  <c r="T813" i="1"/>
  <c r="V813" i="1" s="1"/>
  <c r="T814" i="1"/>
  <c r="V814" i="1" s="1"/>
  <c r="Z814" i="1" s="1"/>
  <c r="AB814" i="1" s="1"/>
  <c r="T815" i="1"/>
  <c r="V815" i="1" s="1"/>
  <c r="T816" i="1"/>
  <c r="V816" i="1" s="1"/>
  <c r="T817" i="1"/>
  <c r="V817" i="1" s="1"/>
  <c r="T818" i="1"/>
  <c r="V818" i="1" s="1"/>
  <c r="T819" i="1"/>
  <c r="V819" i="1" s="1"/>
  <c r="Z819" i="1" s="1"/>
  <c r="AB819" i="1" s="1"/>
  <c r="T820" i="1"/>
  <c r="V820" i="1" s="1"/>
  <c r="T821" i="1"/>
  <c r="V821" i="1" s="1"/>
  <c r="T822" i="1"/>
  <c r="V822" i="1" s="1"/>
  <c r="Z822" i="1" s="1"/>
  <c r="AB822" i="1" s="1"/>
  <c r="T823" i="1"/>
  <c r="V823" i="1" s="1"/>
  <c r="T824" i="1"/>
  <c r="V824" i="1" s="1"/>
  <c r="T825" i="1"/>
  <c r="V825" i="1" s="1"/>
  <c r="T826" i="1"/>
  <c r="V826" i="1" s="1"/>
  <c r="T827" i="1"/>
  <c r="V827" i="1" s="1"/>
  <c r="Z827" i="1" s="1"/>
  <c r="AB827" i="1" s="1"/>
  <c r="T828" i="1"/>
  <c r="V828" i="1" s="1"/>
  <c r="T829" i="1"/>
  <c r="V829" i="1" s="1"/>
  <c r="T830" i="1"/>
  <c r="V830" i="1" s="1"/>
  <c r="Z830" i="1" s="1"/>
  <c r="AB830" i="1" s="1"/>
  <c r="T831" i="1"/>
  <c r="V831" i="1" s="1"/>
  <c r="T832" i="1"/>
  <c r="V832" i="1" s="1"/>
  <c r="T833" i="1"/>
  <c r="V833" i="1" s="1"/>
  <c r="T834" i="1"/>
  <c r="V834" i="1" s="1"/>
  <c r="T835" i="1"/>
  <c r="V835" i="1" s="1"/>
  <c r="Z835" i="1" s="1"/>
  <c r="AB835" i="1" s="1"/>
  <c r="T836" i="1"/>
  <c r="V836" i="1" s="1"/>
  <c r="T837" i="1"/>
  <c r="V837" i="1" s="1"/>
  <c r="T838" i="1"/>
  <c r="V838" i="1" s="1"/>
  <c r="Z838" i="1" s="1"/>
  <c r="AB838" i="1" s="1"/>
  <c r="T839" i="1"/>
  <c r="V839" i="1" s="1"/>
  <c r="T840" i="1"/>
  <c r="V840" i="1" s="1"/>
  <c r="T841" i="1"/>
  <c r="V841" i="1" s="1"/>
  <c r="T842" i="1"/>
  <c r="V842" i="1" s="1"/>
  <c r="T843" i="1"/>
  <c r="V843" i="1" s="1"/>
  <c r="Z843" i="1" s="1"/>
  <c r="AB843" i="1" s="1"/>
  <c r="T844" i="1"/>
  <c r="V844" i="1" s="1"/>
  <c r="T845" i="1"/>
  <c r="V845" i="1" s="1"/>
  <c r="T846" i="1"/>
  <c r="V846" i="1" s="1"/>
  <c r="Z846" i="1" s="1"/>
  <c r="AB846" i="1" s="1"/>
  <c r="T847" i="1"/>
  <c r="V847" i="1" s="1"/>
  <c r="T848" i="1"/>
  <c r="V848" i="1" s="1"/>
  <c r="T849" i="1"/>
  <c r="V849" i="1" s="1"/>
  <c r="T850" i="1"/>
  <c r="V850" i="1" s="1"/>
  <c r="T851" i="1"/>
  <c r="V851" i="1" s="1"/>
  <c r="Z851" i="1" s="1"/>
  <c r="AB851" i="1" s="1"/>
  <c r="T852" i="1"/>
  <c r="V852" i="1" s="1"/>
  <c r="T853" i="1"/>
  <c r="V853" i="1" s="1"/>
  <c r="T854" i="1"/>
  <c r="V854" i="1" s="1"/>
  <c r="Z854" i="1" s="1"/>
  <c r="AB854" i="1" s="1"/>
  <c r="T855" i="1"/>
  <c r="V855" i="1" s="1"/>
  <c r="T856" i="1"/>
  <c r="V856" i="1" s="1"/>
  <c r="T857" i="1"/>
  <c r="V857" i="1" s="1"/>
  <c r="T858" i="1"/>
  <c r="V858" i="1" s="1"/>
  <c r="T859" i="1"/>
  <c r="V859" i="1" s="1"/>
  <c r="Z859" i="1" s="1"/>
  <c r="AB859" i="1" s="1"/>
  <c r="T860" i="1"/>
  <c r="V860" i="1" s="1"/>
  <c r="T861" i="1"/>
  <c r="V861" i="1" s="1"/>
  <c r="T862" i="1"/>
  <c r="V862" i="1" s="1"/>
  <c r="Z862" i="1" s="1"/>
  <c r="AB862" i="1" s="1"/>
  <c r="T863" i="1"/>
  <c r="V863" i="1" s="1"/>
  <c r="T864" i="1"/>
  <c r="V864" i="1" s="1"/>
  <c r="T865" i="1"/>
  <c r="V865" i="1" s="1"/>
  <c r="T866" i="1"/>
  <c r="V866" i="1" s="1"/>
  <c r="T867" i="1"/>
  <c r="V867" i="1" s="1"/>
  <c r="Z867" i="1" s="1"/>
  <c r="AB867" i="1" s="1"/>
  <c r="T868" i="1"/>
  <c r="V868" i="1" s="1"/>
  <c r="T869" i="1"/>
  <c r="V869" i="1" s="1"/>
  <c r="T870" i="1"/>
  <c r="V870" i="1" s="1"/>
  <c r="Z870" i="1" s="1"/>
  <c r="AB870" i="1" s="1"/>
  <c r="T871" i="1"/>
  <c r="V871" i="1" s="1"/>
  <c r="T872" i="1"/>
  <c r="V872" i="1" s="1"/>
  <c r="T873" i="1"/>
  <c r="V873" i="1" s="1"/>
  <c r="T874" i="1"/>
  <c r="V874" i="1" s="1"/>
  <c r="T875" i="1"/>
  <c r="V875" i="1" s="1"/>
  <c r="Z875" i="1" s="1"/>
  <c r="AB875" i="1" s="1"/>
  <c r="T876" i="1"/>
  <c r="V876" i="1" s="1"/>
  <c r="T877" i="1"/>
  <c r="V877" i="1" s="1"/>
  <c r="T878" i="1"/>
  <c r="V878" i="1" s="1"/>
  <c r="Z878" i="1" s="1"/>
  <c r="AB878" i="1" s="1"/>
  <c r="T879" i="1"/>
  <c r="V879" i="1" s="1"/>
  <c r="T880" i="1"/>
  <c r="V880" i="1" s="1"/>
  <c r="T881" i="1"/>
  <c r="V881" i="1" s="1"/>
  <c r="T882" i="1"/>
  <c r="V882" i="1" s="1"/>
  <c r="T883" i="1"/>
  <c r="V883" i="1" s="1"/>
  <c r="Z883" i="1" s="1"/>
  <c r="AB883" i="1" s="1"/>
  <c r="T884" i="1"/>
  <c r="V884" i="1" s="1"/>
  <c r="T885" i="1"/>
  <c r="V885" i="1" s="1"/>
  <c r="T886" i="1"/>
  <c r="V886" i="1" s="1"/>
  <c r="Z886" i="1" s="1"/>
  <c r="AB886" i="1" s="1"/>
  <c r="T887" i="1"/>
  <c r="V887" i="1" s="1"/>
  <c r="T888" i="1"/>
  <c r="V888" i="1" s="1"/>
  <c r="T889" i="1"/>
  <c r="V889" i="1" s="1"/>
  <c r="T890" i="1"/>
  <c r="V890" i="1" s="1"/>
  <c r="T891" i="1"/>
  <c r="V891" i="1" s="1"/>
  <c r="Z891" i="1" s="1"/>
  <c r="AB891" i="1" s="1"/>
  <c r="T892" i="1"/>
  <c r="V892" i="1" s="1"/>
  <c r="T893" i="1"/>
  <c r="V893" i="1" s="1"/>
  <c r="T894" i="1"/>
  <c r="V894" i="1" s="1"/>
  <c r="Z894" i="1" s="1"/>
  <c r="AB894" i="1" s="1"/>
  <c r="T895" i="1"/>
  <c r="V895" i="1" s="1"/>
  <c r="T896" i="1"/>
  <c r="V896" i="1" s="1"/>
  <c r="T897" i="1"/>
  <c r="V897" i="1" s="1"/>
  <c r="T898" i="1"/>
  <c r="V898" i="1" s="1"/>
  <c r="T899" i="1"/>
  <c r="V899" i="1" s="1"/>
  <c r="Z899" i="1" s="1"/>
  <c r="AB899" i="1" s="1"/>
  <c r="T900" i="1"/>
  <c r="V900" i="1" s="1"/>
  <c r="T901" i="1"/>
  <c r="V901" i="1" s="1"/>
  <c r="T902" i="1"/>
  <c r="V902" i="1" s="1"/>
  <c r="Z902" i="1" s="1"/>
  <c r="AB902" i="1" s="1"/>
  <c r="T903" i="1"/>
  <c r="V903" i="1" s="1"/>
  <c r="T904" i="1"/>
  <c r="V904" i="1" s="1"/>
  <c r="T905" i="1"/>
  <c r="V905" i="1" s="1"/>
  <c r="T906" i="1"/>
  <c r="V906" i="1" s="1"/>
  <c r="T907" i="1"/>
  <c r="V907" i="1" s="1"/>
  <c r="Z907" i="1" s="1"/>
  <c r="AB907" i="1" s="1"/>
  <c r="T908" i="1"/>
  <c r="V908" i="1" s="1"/>
  <c r="T909" i="1"/>
  <c r="V909" i="1" s="1"/>
  <c r="T910" i="1"/>
  <c r="V910" i="1" s="1"/>
  <c r="Z910" i="1" s="1"/>
  <c r="AB910" i="1" s="1"/>
  <c r="T911" i="1"/>
  <c r="V911" i="1" s="1"/>
  <c r="T912" i="1"/>
  <c r="V912" i="1" s="1"/>
  <c r="T913" i="1"/>
  <c r="V913" i="1" s="1"/>
  <c r="T2" i="1"/>
  <c r="V2" i="1" s="1"/>
  <c r="F7" i="1"/>
  <c r="F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AB574" i="1" l="1"/>
  <c r="AA574" i="1"/>
  <c r="AB382" i="1"/>
  <c r="AA382" i="1"/>
  <c r="AB326" i="1"/>
  <c r="AA326" i="1"/>
  <c r="AB134" i="1"/>
  <c r="AA134" i="1"/>
  <c r="AB70" i="1"/>
  <c r="AA70" i="1"/>
  <c r="AB372" i="1"/>
  <c r="AA372" i="1"/>
  <c r="AB308" i="1"/>
  <c r="AA308" i="1"/>
  <c r="AB252" i="1"/>
  <c r="AA252" i="1"/>
  <c r="AB228" i="1"/>
  <c r="AA228" i="1"/>
  <c r="AB204" i="1"/>
  <c r="AA204" i="1"/>
  <c r="AB180" i="1"/>
  <c r="AA180" i="1"/>
  <c r="AB148" i="1"/>
  <c r="AA148" i="1"/>
  <c r="AB124" i="1"/>
  <c r="AA124" i="1"/>
  <c r="AB108" i="1"/>
  <c r="AA108" i="1"/>
  <c r="AB84" i="1"/>
  <c r="AA84" i="1"/>
  <c r="AB60" i="1"/>
  <c r="AA60" i="1"/>
  <c r="AB36" i="1"/>
  <c r="AA36" i="1"/>
  <c r="AB12" i="1"/>
  <c r="AA12" i="1"/>
  <c r="AA854" i="1"/>
  <c r="AA790" i="1"/>
  <c r="AA726" i="1"/>
  <c r="AB254" i="1"/>
  <c r="AA254" i="1"/>
  <c r="AB190" i="1"/>
  <c r="AA190" i="1"/>
  <c r="AB628" i="1"/>
  <c r="AA628" i="1"/>
  <c r="AB564" i="1"/>
  <c r="AA564" i="1"/>
  <c r="AB492" i="1"/>
  <c r="AA492" i="1"/>
  <c r="AB428" i="1"/>
  <c r="AA428" i="1"/>
  <c r="AB300" i="1"/>
  <c r="AA300" i="1"/>
  <c r="AB268" i="1"/>
  <c r="AA268" i="1"/>
  <c r="AB244" i="1"/>
  <c r="AA244" i="1"/>
  <c r="AB220" i="1"/>
  <c r="AA220" i="1"/>
  <c r="AB212" i="1"/>
  <c r="AA212" i="1"/>
  <c r="AB188" i="1"/>
  <c r="AA188" i="1"/>
  <c r="AB172" i="1"/>
  <c r="AA172" i="1"/>
  <c r="AB156" i="1"/>
  <c r="AA156" i="1"/>
  <c r="AB132" i="1"/>
  <c r="AA132" i="1"/>
  <c r="AB100" i="1"/>
  <c r="AA100" i="1"/>
  <c r="AB76" i="1"/>
  <c r="AA76" i="1"/>
  <c r="AB52" i="1"/>
  <c r="AA52" i="1"/>
  <c r="AB28" i="1"/>
  <c r="AA28" i="1"/>
  <c r="AA894" i="1"/>
  <c r="AA830" i="1"/>
  <c r="AA766" i="1"/>
  <c r="AA702" i="1"/>
  <c r="AB454" i="1"/>
  <c r="AA454" i="1"/>
  <c r="AB318" i="1"/>
  <c r="AA318" i="1"/>
  <c r="AB126" i="1"/>
  <c r="AA126" i="1"/>
  <c r="AA814" i="1"/>
  <c r="AA686" i="1"/>
  <c r="AB638" i="1"/>
  <c r="AA638" i="1"/>
  <c r="AB582" i="1"/>
  <c r="AA582" i="1"/>
  <c r="AB510" i="1"/>
  <c r="AA510" i="1"/>
  <c r="AB390" i="1"/>
  <c r="AA390" i="1"/>
  <c r="AB620" i="1"/>
  <c r="AA620" i="1"/>
  <c r="AB556" i="1"/>
  <c r="AA556" i="1"/>
  <c r="AB500" i="1"/>
  <c r="AA500" i="1"/>
  <c r="AB436" i="1"/>
  <c r="AA436" i="1"/>
  <c r="AB364" i="1"/>
  <c r="AA364" i="1"/>
  <c r="AB260" i="1"/>
  <c r="AA260" i="1"/>
  <c r="AB236" i="1"/>
  <c r="AA236" i="1"/>
  <c r="AB196" i="1"/>
  <c r="AA196" i="1"/>
  <c r="AB164" i="1"/>
  <c r="AA164" i="1"/>
  <c r="AB140" i="1"/>
  <c r="AA140" i="1"/>
  <c r="AB116" i="1"/>
  <c r="AA116" i="1"/>
  <c r="AB92" i="1"/>
  <c r="AA92" i="1"/>
  <c r="AB68" i="1"/>
  <c r="AA68" i="1"/>
  <c r="AB44" i="1"/>
  <c r="AA44" i="1"/>
  <c r="AB20" i="1"/>
  <c r="AA20" i="1"/>
  <c r="AA910" i="1"/>
  <c r="AA846" i="1"/>
  <c r="AA782" i="1"/>
  <c r="AA718" i="1"/>
  <c r="AB646" i="1"/>
  <c r="AA646" i="1"/>
  <c r="AA878" i="1"/>
  <c r="AA750" i="1"/>
  <c r="AA870" i="1"/>
  <c r="AA806" i="1"/>
  <c r="AA742" i="1"/>
  <c r="AA886" i="1"/>
  <c r="AA822" i="1"/>
  <c r="AA758" i="1"/>
  <c r="AA694" i="1"/>
  <c r="AA862" i="1"/>
  <c r="AA798" i="1"/>
  <c r="AA734" i="1"/>
  <c r="AB518" i="1"/>
  <c r="AA518" i="1"/>
  <c r="AB446" i="1"/>
  <c r="AA446" i="1"/>
  <c r="AB262" i="1"/>
  <c r="AA262" i="1"/>
  <c r="AB198" i="1"/>
  <c r="AA198" i="1"/>
  <c r="AA902" i="1"/>
  <c r="AA838" i="1"/>
  <c r="AA774" i="1"/>
  <c r="AA710" i="1"/>
  <c r="AB157" i="1"/>
  <c r="AA157" i="1"/>
  <c r="AB149" i="1"/>
  <c r="AA149" i="1"/>
  <c r="AB93" i="1"/>
  <c r="AA93" i="1"/>
  <c r="AB85" i="1"/>
  <c r="AA85" i="1"/>
  <c r="AB37" i="1"/>
  <c r="AA37" i="1"/>
  <c r="AB29" i="1"/>
  <c r="AA29" i="1"/>
  <c r="AB21" i="1"/>
  <c r="AA21" i="1"/>
  <c r="AB13" i="1"/>
  <c r="AA13" i="1"/>
  <c r="AA661" i="1"/>
  <c r="AA597" i="1"/>
  <c r="AA541" i="1"/>
  <c r="AA477" i="1"/>
  <c r="AA413" i="1"/>
  <c r="AA349" i="1"/>
  <c r="AA285" i="1"/>
  <c r="AA221" i="1"/>
  <c r="AA907" i="1"/>
  <c r="AA899" i="1"/>
  <c r="AA891" i="1"/>
  <c r="AA883" i="1"/>
  <c r="AA875" i="1"/>
  <c r="AA867" i="1"/>
  <c r="AA859" i="1"/>
  <c r="AA851" i="1"/>
  <c r="AA843" i="1"/>
  <c r="AA835" i="1"/>
  <c r="AA827" i="1"/>
  <c r="AA819" i="1"/>
  <c r="AA811" i="1"/>
  <c r="AA803" i="1"/>
  <c r="AA795" i="1"/>
  <c r="AA787" i="1"/>
  <c r="AA779" i="1"/>
  <c r="AA771" i="1"/>
  <c r="AA763" i="1"/>
  <c r="AA755" i="1"/>
  <c r="AA747" i="1"/>
  <c r="AA739" i="1"/>
  <c r="AA731" i="1"/>
  <c r="AA723" i="1"/>
  <c r="AA715" i="1"/>
  <c r="AA707" i="1"/>
  <c r="AA699" i="1"/>
  <c r="AA691" i="1"/>
  <c r="AA683" i="1"/>
  <c r="AA669" i="1"/>
  <c r="AA605" i="1"/>
  <c r="AA533" i="1"/>
  <c r="AA469" i="1"/>
  <c r="AA405" i="1"/>
  <c r="AA341" i="1"/>
  <c r="AA277" i="1"/>
  <c r="AA213" i="1"/>
  <c r="W436" i="1"/>
  <c r="W116" i="1"/>
  <c r="W533" i="1"/>
  <c r="W172" i="1"/>
  <c r="W364" i="1"/>
  <c r="W108" i="1"/>
  <c r="W349" i="1"/>
  <c r="W93" i="1"/>
  <c r="W277" i="1"/>
  <c r="W52" i="1"/>
  <c r="W244" i="1"/>
  <c r="W44" i="1"/>
  <c r="W620" i="1"/>
  <c r="W236" i="1"/>
  <c r="W29" i="1"/>
  <c r="W605" i="1"/>
  <c r="W180" i="1"/>
  <c r="W21" i="1"/>
  <c r="Z611" i="1"/>
  <c r="W611" i="1"/>
  <c r="Z531" i="1"/>
  <c r="W531" i="1"/>
  <c r="Z467" i="1"/>
  <c r="W467" i="1"/>
  <c r="Z379" i="1"/>
  <c r="W379" i="1"/>
  <c r="Z299" i="1"/>
  <c r="W299" i="1"/>
  <c r="Z219" i="1"/>
  <c r="W219" i="1"/>
  <c r="Z123" i="1"/>
  <c r="W123" i="1"/>
  <c r="Z11" i="1"/>
  <c r="W11" i="1"/>
  <c r="Z651" i="1"/>
  <c r="W651" i="1"/>
  <c r="Z603" i="1"/>
  <c r="W603" i="1"/>
  <c r="Z563" i="1"/>
  <c r="W563" i="1"/>
  <c r="Z507" i="1"/>
  <c r="W507" i="1"/>
  <c r="Z459" i="1"/>
  <c r="W459" i="1"/>
  <c r="Z395" i="1"/>
  <c r="W395" i="1"/>
  <c r="Z339" i="1"/>
  <c r="W339" i="1"/>
  <c r="Z275" i="1"/>
  <c r="W275" i="1"/>
  <c r="Z235" i="1"/>
  <c r="W235" i="1"/>
  <c r="Z163" i="1"/>
  <c r="W163" i="1"/>
  <c r="Z115" i="1"/>
  <c r="W115" i="1"/>
  <c r="Z67" i="1"/>
  <c r="W67" i="1"/>
  <c r="Z19" i="1"/>
  <c r="W19" i="1"/>
  <c r="Z2" i="1"/>
  <c r="W2" i="1"/>
  <c r="Z882" i="1"/>
  <c r="W882" i="1"/>
  <c r="Z858" i="1"/>
  <c r="W858" i="1"/>
  <c r="Z826" i="1"/>
  <c r="W826" i="1"/>
  <c r="Z794" i="1"/>
  <c r="W794" i="1"/>
  <c r="Z770" i="1"/>
  <c r="W770" i="1"/>
  <c r="Z746" i="1"/>
  <c r="W746" i="1"/>
  <c r="Z722" i="1"/>
  <c r="W722" i="1"/>
  <c r="Z698" i="1"/>
  <c r="W698" i="1"/>
  <c r="Z674" i="1"/>
  <c r="W674" i="1"/>
  <c r="Z642" i="1"/>
  <c r="W642" i="1"/>
  <c r="Z610" i="1"/>
  <c r="W610" i="1"/>
  <c r="Z586" i="1"/>
  <c r="W586" i="1"/>
  <c r="Z562" i="1"/>
  <c r="W562" i="1"/>
  <c r="Z538" i="1"/>
  <c r="W538" i="1"/>
  <c r="Z514" i="1"/>
  <c r="W514" i="1"/>
  <c r="Z490" i="1"/>
  <c r="W490" i="1"/>
  <c r="Z466" i="1"/>
  <c r="W466" i="1"/>
  <c r="Z442" i="1"/>
  <c r="W442" i="1"/>
  <c r="Z410" i="1"/>
  <c r="W410" i="1"/>
  <c r="Z386" i="1"/>
  <c r="W386" i="1"/>
  <c r="Z362" i="1"/>
  <c r="W362" i="1"/>
  <c r="Z338" i="1"/>
  <c r="W338" i="1"/>
  <c r="Z298" i="1"/>
  <c r="W298" i="1"/>
  <c r="Z266" i="1"/>
  <c r="W266" i="1"/>
  <c r="W878" i="1"/>
  <c r="W782" i="1"/>
  <c r="W718" i="1"/>
  <c r="W518" i="1"/>
  <c r="W262" i="1"/>
  <c r="Z913" i="1"/>
  <c r="W913" i="1"/>
  <c r="Z905" i="1"/>
  <c r="W905" i="1"/>
  <c r="Z897" i="1"/>
  <c r="W897" i="1"/>
  <c r="Z889" i="1"/>
  <c r="W889" i="1"/>
  <c r="Z881" i="1"/>
  <c r="W881" i="1"/>
  <c r="Z873" i="1"/>
  <c r="W873" i="1"/>
  <c r="Z865" i="1"/>
  <c r="W865" i="1"/>
  <c r="Z857" i="1"/>
  <c r="W857" i="1"/>
  <c r="Z849" i="1"/>
  <c r="W849" i="1"/>
  <c r="Z841" i="1"/>
  <c r="W841" i="1"/>
  <c r="Z833" i="1"/>
  <c r="W833" i="1"/>
  <c r="Z825" i="1"/>
  <c r="W825" i="1"/>
  <c r="Z817" i="1"/>
  <c r="W817" i="1"/>
  <c r="Z809" i="1"/>
  <c r="W809" i="1"/>
  <c r="Z801" i="1"/>
  <c r="W801" i="1"/>
  <c r="Z793" i="1"/>
  <c r="W793" i="1"/>
  <c r="Z785" i="1"/>
  <c r="W785" i="1"/>
  <c r="Z777" i="1"/>
  <c r="W777" i="1"/>
  <c r="Z769" i="1"/>
  <c r="W769" i="1"/>
  <c r="Z761" i="1"/>
  <c r="W761" i="1"/>
  <c r="Z753" i="1"/>
  <c r="W753" i="1"/>
  <c r="Z745" i="1"/>
  <c r="W745" i="1"/>
  <c r="Z737" i="1"/>
  <c r="W737" i="1"/>
  <c r="Z729" i="1"/>
  <c r="W729" i="1"/>
  <c r="Z721" i="1"/>
  <c r="W721" i="1"/>
  <c r="Z713" i="1"/>
  <c r="W713" i="1"/>
  <c r="Z705" i="1"/>
  <c r="W705" i="1"/>
  <c r="Z697" i="1"/>
  <c r="W697" i="1"/>
  <c r="Z689" i="1"/>
  <c r="W689" i="1"/>
  <c r="Z681" i="1"/>
  <c r="W681" i="1"/>
  <c r="Z673" i="1"/>
  <c r="W673" i="1"/>
  <c r="Z665" i="1"/>
  <c r="W665" i="1"/>
  <c r="Z657" i="1"/>
  <c r="W657" i="1"/>
  <c r="Z649" i="1"/>
  <c r="W649" i="1"/>
  <c r="Z641" i="1"/>
  <c r="W641" i="1"/>
  <c r="Z633" i="1"/>
  <c r="W633" i="1"/>
  <c r="Z625" i="1"/>
  <c r="W625" i="1"/>
  <c r="Z617" i="1"/>
  <c r="W617" i="1"/>
  <c r="Z609" i="1"/>
  <c r="W609" i="1"/>
  <c r="Z601" i="1"/>
  <c r="W601" i="1"/>
  <c r="Z593" i="1"/>
  <c r="W593" i="1"/>
  <c r="Z585" i="1"/>
  <c r="W585" i="1"/>
  <c r="Z577" i="1"/>
  <c r="W577" i="1"/>
  <c r="Z569" i="1"/>
  <c r="W569" i="1"/>
  <c r="Z561" i="1"/>
  <c r="W561" i="1"/>
  <c r="Z553" i="1"/>
  <c r="W553" i="1"/>
  <c r="Z545" i="1"/>
  <c r="W545" i="1"/>
  <c r="Z537" i="1"/>
  <c r="W537" i="1"/>
  <c r="Z529" i="1"/>
  <c r="W529" i="1"/>
  <c r="Z521" i="1"/>
  <c r="W521" i="1"/>
  <c r="Z513" i="1"/>
  <c r="W513" i="1"/>
  <c r="Z505" i="1"/>
  <c r="W505" i="1"/>
  <c r="Z497" i="1"/>
  <c r="W497" i="1"/>
  <c r="Z489" i="1"/>
  <c r="W489" i="1"/>
  <c r="Z481" i="1"/>
  <c r="W481" i="1"/>
  <c r="Z473" i="1"/>
  <c r="W473" i="1"/>
  <c r="Z465" i="1"/>
  <c r="W465" i="1"/>
  <c r="Z457" i="1"/>
  <c r="W457" i="1"/>
  <c r="Z449" i="1"/>
  <c r="W449" i="1"/>
  <c r="Z441" i="1"/>
  <c r="W441" i="1"/>
  <c r="Z433" i="1"/>
  <c r="W433" i="1"/>
  <c r="Z425" i="1"/>
  <c r="W425" i="1"/>
  <c r="Z417" i="1"/>
  <c r="W417" i="1"/>
  <c r="Z409" i="1"/>
  <c r="W409" i="1"/>
  <c r="Z401" i="1"/>
  <c r="W401" i="1"/>
  <c r="Z393" i="1"/>
  <c r="W393" i="1"/>
  <c r="Z385" i="1"/>
  <c r="W385" i="1"/>
  <c r="Z377" i="1"/>
  <c r="W377" i="1"/>
  <c r="Z369" i="1"/>
  <c r="W369" i="1"/>
  <c r="Z361" i="1"/>
  <c r="W361" i="1"/>
  <c r="Z353" i="1"/>
  <c r="W353" i="1"/>
  <c r="Z345" i="1"/>
  <c r="W345" i="1"/>
  <c r="Z337" i="1"/>
  <c r="W337" i="1"/>
  <c r="Z329" i="1"/>
  <c r="W329" i="1"/>
  <c r="Z321" i="1"/>
  <c r="W321" i="1"/>
  <c r="Z313" i="1"/>
  <c r="W313" i="1"/>
  <c r="Z305" i="1"/>
  <c r="W305" i="1"/>
  <c r="Z297" i="1"/>
  <c r="W297" i="1"/>
  <c r="Z289" i="1"/>
  <c r="W289" i="1"/>
  <c r="Z281" i="1"/>
  <c r="W281" i="1"/>
  <c r="Z273" i="1"/>
  <c r="W273" i="1"/>
  <c r="Z265" i="1"/>
  <c r="W265" i="1"/>
  <c r="Z257" i="1"/>
  <c r="W257" i="1"/>
  <c r="Z249" i="1"/>
  <c r="W249" i="1"/>
  <c r="Z241" i="1"/>
  <c r="W241" i="1"/>
  <c r="Z233" i="1"/>
  <c r="W233" i="1"/>
  <c r="Z225" i="1"/>
  <c r="W225" i="1"/>
  <c r="Z217" i="1"/>
  <c r="W217" i="1"/>
  <c r="Z209" i="1"/>
  <c r="W209" i="1"/>
  <c r="Z201" i="1"/>
  <c r="W201" i="1"/>
  <c r="Z193" i="1"/>
  <c r="W193" i="1"/>
  <c r="Z185" i="1"/>
  <c r="W185" i="1"/>
  <c r="Z177" i="1"/>
  <c r="W177" i="1"/>
  <c r="Z169" i="1"/>
  <c r="W169" i="1"/>
  <c r="Z161" i="1"/>
  <c r="W161" i="1"/>
  <c r="Z153" i="1"/>
  <c r="W153" i="1"/>
  <c r="Z145" i="1"/>
  <c r="W145" i="1"/>
  <c r="Z137" i="1"/>
  <c r="W137" i="1"/>
  <c r="Z129" i="1"/>
  <c r="W129" i="1"/>
  <c r="Z121" i="1"/>
  <c r="W121" i="1"/>
  <c r="Z113" i="1"/>
  <c r="W113" i="1"/>
  <c r="Z105" i="1"/>
  <c r="W105" i="1"/>
  <c r="Z97" i="1"/>
  <c r="W97" i="1"/>
  <c r="Z89" i="1"/>
  <c r="W89" i="1"/>
  <c r="Z81" i="1"/>
  <c r="W81" i="1"/>
  <c r="Z73" i="1"/>
  <c r="W73" i="1"/>
  <c r="Z65" i="1"/>
  <c r="W65" i="1"/>
  <c r="Z57" i="1"/>
  <c r="W57" i="1"/>
  <c r="Z49" i="1"/>
  <c r="W49" i="1"/>
  <c r="Z41" i="1"/>
  <c r="W41" i="1"/>
  <c r="Z33" i="1"/>
  <c r="W33" i="1"/>
  <c r="Z25" i="1"/>
  <c r="W25" i="1"/>
  <c r="Z17" i="1"/>
  <c r="W17" i="1"/>
  <c r="Z9" i="1"/>
  <c r="W9" i="1"/>
  <c r="W907" i="1"/>
  <c r="W875" i="1"/>
  <c r="W843" i="1"/>
  <c r="W811" i="1"/>
  <c r="W779" i="1"/>
  <c r="W747" i="1"/>
  <c r="W715" i="1"/>
  <c r="W683" i="1"/>
  <c r="W597" i="1"/>
  <c r="W510" i="1"/>
  <c r="W428" i="1"/>
  <c r="W341" i="1"/>
  <c r="W254" i="1"/>
  <c r="W85" i="1"/>
  <c r="Z667" i="1"/>
  <c r="W667" i="1"/>
  <c r="Z619" i="1"/>
  <c r="W619" i="1"/>
  <c r="Z571" i="1"/>
  <c r="W571" i="1"/>
  <c r="Z523" i="1"/>
  <c r="W523" i="1"/>
  <c r="Z475" i="1"/>
  <c r="W475" i="1"/>
  <c r="Z435" i="1"/>
  <c r="W435" i="1"/>
  <c r="Z403" i="1"/>
  <c r="W403" i="1"/>
  <c r="Z347" i="1"/>
  <c r="W347" i="1"/>
  <c r="Z283" i="1"/>
  <c r="W283" i="1"/>
  <c r="Z227" i="1"/>
  <c r="W227" i="1"/>
  <c r="Z179" i="1"/>
  <c r="W179" i="1"/>
  <c r="Z131" i="1"/>
  <c r="W131" i="1"/>
  <c r="Z83" i="1"/>
  <c r="W83" i="1"/>
  <c r="Z35" i="1"/>
  <c r="W35" i="1"/>
  <c r="W851" i="1"/>
  <c r="W787" i="1"/>
  <c r="W723" i="1"/>
  <c r="W446" i="1"/>
  <c r="Z906" i="1"/>
  <c r="W906" i="1"/>
  <c r="Z890" i="1"/>
  <c r="W890" i="1"/>
  <c r="Z866" i="1"/>
  <c r="W866" i="1"/>
  <c r="Z842" i="1"/>
  <c r="W842" i="1"/>
  <c r="Z818" i="1"/>
  <c r="W818" i="1"/>
  <c r="Z802" i="1"/>
  <c r="W802" i="1"/>
  <c r="Z786" i="1"/>
  <c r="W786" i="1"/>
  <c r="Z762" i="1"/>
  <c r="W762" i="1"/>
  <c r="Z738" i="1"/>
  <c r="W738" i="1"/>
  <c r="Z714" i="1"/>
  <c r="W714" i="1"/>
  <c r="Z682" i="1"/>
  <c r="W682" i="1"/>
  <c r="Z658" i="1"/>
  <c r="W658" i="1"/>
  <c r="Z634" i="1"/>
  <c r="W634" i="1"/>
  <c r="Z626" i="1"/>
  <c r="W626" i="1"/>
  <c r="Z594" i="1"/>
  <c r="W594" i="1"/>
  <c r="Z578" i="1"/>
  <c r="W578" i="1"/>
  <c r="Z546" i="1"/>
  <c r="W546" i="1"/>
  <c r="Z522" i="1"/>
  <c r="W522" i="1"/>
  <c r="Z498" i="1"/>
  <c r="W498" i="1"/>
  <c r="Z482" i="1"/>
  <c r="W482" i="1"/>
  <c r="Z458" i="1"/>
  <c r="W458" i="1"/>
  <c r="Z434" i="1"/>
  <c r="W434" i="1"/>
  <c r="Z418" i="1"/>
  <c r="W418" i="1"/>
  <c r="Z394" i="1"/>
  <c r="W394" i="1"/>
  <c r="Z370" i="1"/>
  <c r="W370" i="1"/>
  <c r="Z346" i="1"/>
  <c r="W346" i="1"/>
  <c r="Z322" i="1"/>
  <c r="W322" i="1"/>
  <c r="Z314" i="1"/>
  <c r="W314" i="1"/>
  <c r="Z290" i="1"/>
  <c r="W290" i="1"/>
  <c r="Z274" i="1"/>
  <c r="W274" i="1"/>
  <c r="Z250" i="1"/>
  <c r="W250" i="1"/>
  <c r="W910" i="1"/>
  <c r="W814" i="1"/>
  <c r="W686" i="1"/>
  <c r="Z912" i="1"/>
  <c r="W912" i="1"/>
  <c r="Z904" i="1"/>
  <c r="W904" i="1"/>
  <c r="Z896" i="1"/>
  <c r="W896" i="1"/>
  <c r="Z888" i="1"/>
  <c r="W888" i="1"/>
  <c r="Z880" i="1"/>
  <c r="W880" i="1"/>
  <c r="Z872" i="1"/>
  <c r="W872" i="1"/>
  <c r="Z864" i="1"/>
  <c r="W864" i="1"/>
  <c r="Z856" i="1"/>
  <c r="W856" i="1"/>
  <c r="Z848" i="1"/>
  <c r="W848" i="1"/>
  <c r="Z840" i="1"/>
  <c r="W840" i="1"/>
  <c r="Z832" i="1"/>
  <c r="W832" i="1"/>
  <c r="Z824" i="1"/>
  <c r="W824" i="1"/>
  <c r="Z816" i="1"/>
  <c r="W816" i="1"/>
  <c r="Z808" i="1"/>
  <c r="W808" i="1"/>
  <c r="Z800" i="1"/>
  <c r="W800" i="1"/>
  <c r="Z792" i="1"/>
  <c r="W792" i="1"/>
  <c r="Z784" i="1"/>
  <c r="W784" i="1"/>
  <c r="Z776" i="1"/>
  <c r="W776" i="1"/>
  <c r="Z768" i="1"/>
  <c r="W768" i="1"/>
  <c r="Z760" i="1"/>
  <c r="W760" i="1"/>
  <c r="Z752" i="1"/>
  <c r="W752" i="1"/>
  <c r="Z744" i="1"/>
  <c r="W744" i="1"/>
  <c r="Z736" i="1"/>
  <c r="W736" i="1"/>
  <c r="Z728" i="1"/>
  <c r="W728" i="1"/>
  <c r="Z720" i="1"/>
  <c r="W720" i="1"/>
  <c r="Z712" i="1"/>
  <c r="W712" i="1"/>
  <c r="Z704" i="1"/>
  <c r="W704" i="1"/>
  <c r="Z696" i="1"/>
  <c r="W696" i="1"/>
  <c r="Z688" i="1"/>
  <c r="W688" i="1"/>
  <c r="Z680" i="1"/>
  <c r="W680" i="1"/>
  <c r="Z672" i="1"/>
  <c r="W672" i="1"/>
  <c r="Z664" i="1"/>
  <c r="W664" i="1"/>
  <c r="Z656" i="1"/>
  <c r="W656" i="1"/>
  <c r="Z648" i="1"/>
  <c r="W648" i="1"/>
  <c r="Z640" i="1"/>
  <c r="W640" i="1"/>
  <c r="Z632" i="1"/>
  <c r="W632" i="1"/>
  <c r="Z624" i="1"/>
  <c r="W624" i="1"/>
  <c r="Z616" i="1"/>
  <c r="W616" i="1"/>
  <c r="Z608" i="1"/>
  <c r="W608" i="1"/>
  <c r="Z600" i="1"/>
  <c r="W600" i="1"/>
  <c r="Z592" i="1"/>
  <c r="W592" i="1"/>
  <c r="Z584" i="1"/>
  <c r="W584" i="1"/>
  <c r="Z576" i="1"/>
  <c r="W576" i="1"/>
  <c r="W902" i="1"/>
  <c r="W870" i="1"/>
  <c r="W838" i="1"/>
  <c r="W806" i="1"/>
  <c r="W774" i="1"/>
  <c r="W742" i="1"/>
  <c r="W710" i="1"/>
  <c r="W669" i="1"/>
  <c r="W582" i="1"/>
  <c r="W500" i="1"/>
  <c r="W413" i="1"/>
  <c r="W326" i="1"/>
  <c r="W157" i="1"/>
  <c r="W70" i="1"/>
  <c r="Z643" i="1"/>
  <c r="W643" i="1"/>
  <c r="Z595" i="1"/>
  <c r="W595" i="1"/>
  <c r="Z555" i="1"/>
  <c r="W555" i="1"/>
  <c r="Z515" i="1"/>
  <c r="W515" i="1"/>
  <c r="Z483" i="1"/>
  <c r="W483" i="1"/>
  <c r="Z451" i="1"/>
  <c r="W451" i="1"/>
  <c r="Z411" i="1"/>
  <c r="W411" i="1"/>
  <c r="Z363" i="1"/>
  <c r="W363" i="1"/>
  <c r="Z307" i="1"/>
  <c r="W307" i="1"/>
  <c r="Z251" i="1"/>
  <c r="W251" i="1"/>
  <c r="Z187" i="1"/>
  <c r="W187" i="1"/>
  <c r="Z147" i="1"/>
  <c r="W147" i="1"/>
  <c r="Z75" i="1"/>
  <c r="W75" i="1"/>
  <c r="Z27" i="1"/>
  <c r="W27" i="1"/>
  <c r="W883" i="1"/>
  <c r="W819" i="1"/>
  <c r="W755" i="1"/>
  <c r="W691" i="1"/>
  <c r="W190" i="1"/>
  <c r="Z898" i="1"/>
  <c r="W898" i="1"/>
  <c r="Z874" i="1"/>
  <c r="W874" i="1"/>
  <c r="Z850" i="1"/>
  <c r="W850" i="1"/>
  <c r="Z834" i="1"/>
  <c r="W834" i="1"/>
  <c r="Z810" i="1"/>
  <c r="W810" i="1"/>
  <c r="Z778" i="1"/>
  <c r="W778" i="1"/>
  <c r="Z754" i="1"/>
  <c r="W754" i="1"/>
  <c r="Z730" i="1"/>
  <c r="W730" i="1"/>
  <c r="Z706" i="1"/>
  <c r="W706" i="1"/>
  <c r="Z690" i="1"/>
  <c r="W690" i="1"/>
  <c r="Z666" i="1"/>
  <c r="W666" i="1"/>
  <c r="Z650" i="1"/>
  <c r="W650" i="1"/>
  <c r="Z618" i="1"/>
  <c r="W618" i="1"/>
  <c r="Z602" i="1"/>
  <c r="W602" i="1"/>
  <c r="Z570" i="1"/>
  <c r="W570" i="1"/>
  <c r="Z554" i="1"/>
  <c r="W554" i="1"/>
  <c r="Z530" i="1"/>
  <c r="W530" i="1"/>
  <c r="Z506" i="1"/>
  <c r="W506" i="1"/>
  <c r="Z474" i="1"/>
  <c r="W474" i="1"/>
  <c r="Z450" i="1"/>
  <c r="W450" i="1"/>
  <c r="Z426" i="1"/>
  <c r="W426" i="1"/>
  <c r="Z402" i="1"/>
  <c r="W402" i="1"/>
  <c r="Z378" i="1"/>
  <c r="W378" i="1"/>
  <c r="Z354" i="1"/>
  <c r="W354" i="1"/>
  <c r="Z330" i="1"/>
  <c r="W330" i="1"/>
  <c r="Z306" i="1"/>
  <c r="W306" i="1"/>
  <c r="Z282" i="1"/>
  <c r="W282" i="1"/>
  <c r="Z258" i="1"/>
  <c r="W258" i="1"/>
  <c r="Z242" i="1"/>
  <c r="W242" i="1"/>
  <c r="W846" i="1"/>
  <c r="W750" i="1"/>
  <c r="Z911" i="1"/>
  <c r="W911" i="1"/>
  <c r="Z903" i="1"/>
  <c r="W903" i="1"/>
  <c r="Z895" i="1"/>
  <c r="W895" i="1"/>
  <c r="Z887" i="1"/>
  <c r="W887" i="1"/>
  <c r="Z879" i="1"/>
  <c r="W879" i="1"/>
  <c r="Z871" i="1"/>
  <c r="W871" i="1"/>
  <c r="Z863" i="1"/>
  <c r="W863" i="1"/>
  <c r="Z855" i="1"/>
  <c r="W855" i="1"/>
  <c r="Z847" i="1"/>
  <c r="W847" i="1"/>
  <c r="Z839" i="1"/>
  <c r="W839" i="1"/>
  <c r="Z831" i="1"/>
  <c r="W831" i="1"/>
  <c r="Z823" i="1"/>
  <c r="W823" i="1"/>
  <c r="Z815" i="1"/>
  <c r="W815" i="1"/>
  <c r="Z807" i="1"/>
  <c r="W807" i="1"/>
  <c r="Z799" i="1"/>
  <c r="W799" i="1"/>
  <c r="Z791" i="1"/>
  <c r="W791" i="1"/>
  <c r="Z783" i="1"/>
  <c r="W783" i="1"/>
  <c r="Z775" i="1"/>
  <c r="W775" i="1"/>
  <c r="Z767" i="1"/>
  <c r="W767" i="1"/>
  <c r="Z759" i="1"/>
  <c r="W759" i="1"/>
  <c r="Z751" i="1"/>
  <c r="W751" i="1"/>
  <c r="Z743" i="1"/>
  <c r="W743" i="1"/>
  <c r="Z735" i="1"/>
  <c r="W735" i="1"/>
  <c r="Z727" i="1"/>
  <c r="W727" i="1"/>
  <c r="Z719" i="1"/>
  <c r="W719" i="1"/>
  <c r="Z711" i="1"/>
  <c r="W711" i="1"/>
  <c r="Z703" i="1"/>
  <c r="W703" i="1"/>
  <c r="Z695" i="1"/>
  <c r="W695" i="1"/>
  <c r="Z687" i="1"/>
  <c r="W687" i="1"/>
  <c r="Z679" i="1"/>
  <c r="W679" i="1"/>
  <c r="Z671" i="1"/>
  <c r="W671" i="1"/>
  <c r="Z663" i="1"/>
  <c r="W663" i="1"/>
  <c r="Z655" i="1"/>
  <c r="W655" i="1"/>
  <c r="Z647" i="1"/>
  <c r="W647" i="1"/>
  <c r="Z639" i="1"/>
  <c r="W639" i="1"/>
  <c r="Z631" i="1"/>
  <c r="W631" i="1"/>
  <c r="Z623" i="1"/>
  <c r="W623" i="1"/>
  <c r="Z615" i="1"/>
  <c r="W615" i="1"/>
  <c r="Z607" i="1"/>
  <c r="W607" i="1"/>
  <c r="Z599" i="1"/>
  <c r="W599" i="1"/>
  <c r="Z591" i="1"/>
  <c r="W591" i="1"/>
  <c r="Z583" i="1"/>
  <c r="W583" i="1"/>
  <c r="W899" i="1"/>
  <c r="W867" i="1"/>
  <c r="W835" i="1"/>
  <c r="W803" i="1"/>
  <c r="W771" i="1"/>
  <c r="W739" i="1"/>
  <c r="W707" i="1"/>
  <c r="W661" i="1"/>
  <c r="W574" i="1"/>
  <c r="W492" i="1"/>
  <c r="W405" i="1"/>
  <c r="W318" i="1"/>
  <c r="W149" i="1"/>
  <c r="Z659" i="1"/>
  <c r="W659" i="1"/>
  <c r="Z587" i="1"/>
  <c r="W587" i="1"/>
  <c r="Z547" i="1"/>
  <c r="W547" i="1"/>
  <c r="Z499" i="1"/>
  <c r="W499" i="1"/>
  <c r="Z443" i="1"/>
  <c r="W443" i="1"/>
  <c r="Z419" i="1"/>
  <c r="W419" i="1"/>
  <c r="Z371" i="1"/>
  <c r="W371" i="1"/>
  <c r="Z315" i="1"/>
  <c r="W315" i="1"/>
  <c r="Z259" i="1"/>
  <c r="W259" i="1"/>
  <c r="Z203" i="1"/>
  <c r="W203" i="1"/>
  <c r="Z139" i="1"/>
  <c r="W139" i="1"/>
  <c r="Z99" i="1"/>
  <c r="W99" i="1"/>
  <c r="Z59" i="1"/>
  <c r="W59" i="1"/>
  <c r="Z3" i="1"/>
  <c r="W3" i="1"/>
  <c r="Z118" i="1"/>
  <c r="W118" i="1"/>
  <c r="Z102" i="1"/>
  <c r="W102" i="1"/>
  <c r="Z86" i="1"/>
  <c r="W86" i="1"/>
  <c r="Z78" i="1"/>
  <c r="W78" i="1"/>
  <c r="Z62" i="1"/>
  <c r="W62" i="1"/>
  <c r="Z38" i="1"/>
  <c r="W38" i="1"/>
  <c r="Z6" i="1"/>
  <c r="W6" i="1"/>
  <c r="W894" i="1"/>
  <c r="W862" i="1"/>
  <c r="W830" i="1"/>
  <c r="W798" i="1"/>
  <c r="W766" i="1"/>
  <c r="W734" i="1"/>
  <c r="W702" i="1"/>
  <c r="W646" i="1"/>
  <c r="W564" i="1"/>
  <c r="W477" i="1"/>
  <c r="W390" i="1"/>
  <c r="W308" i="1"/>
  <c r="W221" i="1"/>
  <c r="W134" i="1"/>
  <c r="Z675" i="1"/>
  <c r="W675" i="1"/>
  <c r="Z627" i="1"/>
  <c r="W627" i="1"/>
  <c r="Z579" i="1"/>
  <c r="W579" i="1"/>
  <c r="Z539" i="1"/>
  <c r="W539" i="1"/>
  <c r="Z491" i="1"/>
  <c r="W491" i="1"/>
  <c r="Z427" i="1"/>
  <c r="W427" i="1"/>
  <c r="Z387" i="1"/>
  <c r="W387" i="1"/>
  <c r="Z331" i="1"/>
  <c r="W331" i="1"/>
  <c r="Z291" i="1"/>
  <c r="W291" i="1"/>
  <c r="Z243" i="1"/>
  <c r="W243" i="1"/>
  <c r="Z211" i="1"/>
  <c r="W211" i="1"/>
  <c r="Z171" i="1"/>
  <c r="W171" i="1"/>
  <c r="Z107" i="1"/>
  <c r="W107" i="1"/>
  <c r="Z51" i="1"/>
  <c r="W51" i="1"/>
  <c r="Z678" i="1"/>
  <c r="W678" i="1"/>
  <c r="Z662" i="1"/>
  <c r="W662" i="1"/>
  <c r="Z630" i="1"/>
  <c r="W630" i="1"/>
  <c r="Z614" i="1"/>
  <c r="W614" i="1"/>
  <c r="Z598" i="1"/>
  <c r="W598" i="1"/>
  <c r="Z558" i="1"/>
  <c r="W558" i="1"/>
  <c r="Z542" i="1"/>
  <c r="W542" i="1"/>
  <c r="Z526" i="1"/>
  <c r="W526" i="1"/>
  <c r="Z494" i="1"/>
  <c r="W494" i="1"/>
  <c r="Z478" i="1"/>
  <c r="W478" i="1"/>
  <c r="Z462" i="1"/>
  <c r="W462" i="1"/>
  <c r="Z430" i="1"/>
  <c r="W430" i="1"/>
  <c r="Z414" i="1"/>
  <c r="W414" i="1"/>
  <c r="Z398" i="1"/>
  <c r="W398" i="1"/>
  <c r="Z366" i="1"/>
  <c r="W366" i="1"/>
  <c r="Z350" i="1"/>
  <c r="W350" i="1"/>
  <c r="Z334" i="1"/>
  <c r="W334" i="1"/>
  <c r="Z302" i="1"/>
  <c r="W302" i="1"/>
  <c r="Z286" i="1"/>
  <c r="W286" i="1"/>
  <c r="Z238" i="1"/>
  <c r="W238" i="1"/>
  <c r="Z206" i="1"/>
  <c r="W206" i="1"/>
  <c r="Z46" i="1"/>
  <c r="W46" i="1"/>
  <c r="Z22" i="1"/>
  <c r="W22" i="1"/>
  <c r="Z909" i="1"/>
  <c r="W909" i="1"/>
  <c r="Z901" i="1"/>
  <c r="W901" i="1"/>
  <c r="Z893" i="1"/>
  <c r="W893" i="1"/>
  <c r="Z885" i="1"/>
  <c r="W885" i="1"/>
  <c r="Z877" i="1"/>
  <c r="W877" i="1"/>
  <c r="Z869" i="1"/>
  <c r="W869" i="1"/>
  <c r="Z861" i="1"/>
  <c r="W861" i="1"/>
  <c r="Z853" i="1"/>
  <c r="W853" i="1"/>
  <c r="Z845" i="1"/>
  <c r="W845" i="1"/>
  <c r="Z837" i="1"/>
  <c r="W837" i="1"/>
  <c r="Z829" i="1"/>
  <c r="W829" i="1"/>
  <c r="Z821" i="1"/>
  <c r="W821" i="1"/>
  <c r="Z813" i="1"/>
  <c r="W813" i="1"/>
  <c r="Z805" i="1"/>
  <c r="W805" i="1"/>
  <c r="Z797" i="1"/>
  <c r="W797" i="1"/>
  <c r="Z789" i="1"/>
  <c r="W789" i="1"/>
  <c r="Z781" i="1"/>
  <c r="W781" i="1"/>
  <c r="Z773" i="1"/>
  <c r="W773" i="1"/>
  <c r="Z765" i="1"/>
  <c r="W765" i="1"/>
  <c r="Z757" i="1"/>
  <c r="W757" i="1"/>
  <c r="Z749" i="1"/>
  <c r="W749" i="1"/>
  <c r="Z741" i="1"/>
  <c r="W741" i="1"/>
  <c r="Z733" i="1"/>
  <c r="W733" i="1"/>
  <c r="Z725" i="1"/>
  <c r="W725" i="1"/>
  <c r="Z717" i="1"/>
  <c r="W717" i="1"/>
  <c r="Z709" i="1"/>
  <c r="W709" i="1"/>
  <c r="Z701" i="1"/>
  <c r="W701" i="1"/>
  <c r="Z693" i="1"/>
  <c r="W693" i="1"/>
  <c r="Z685" i="1"/>
  <c r="W685" i="1"/>
  <c r="Z677" i="1"/>
  <c r="W677" i="1"/>
  <c r="Z653" i="1"/>
  <c r="W653" i="1"/>
  <c r="Z645" i="1"/>
  <c r="W645" i="1"/>
  <c r="Z637" i="1"/>
  <c r="W637" i="1"/>
  <c r="Z629" i="1"/>
  <c r="W629" i="1"/>
  <c r="Z621" i="1"/>
  <c r="W621" i="1"/>
  <c r="Z613" i="1"/>
  <c r="W613" i="1"/>
  <c r="Z589" i="1"/>
  <c r="W589" i="1"/>
  <c r="Z581" i="1"/>
  <c r="W581" i="1"/>
  <c r="Z573" i="1"/>
  <c r="W573" i="1"/>
  <c r="Z565" i="1"/>
  <c r="W565" i="1"/>
  <c r="Z557" i="1"/>
  <c r="W557" i="1"/>
  <c r="Z549" i="1"/>
  <c r="W549" i="1"/>
  <c r="Z525" i="1"/>
  <c r="W525" i="1"/>
  <c r="Z517" i="1"/>
  <c r="W517" i="1"/>
  <c r="Z509" i="1"/>
  <c r="W509" i="1"/>
  <c r="Z501" i="1"/>
  <c r="W501" i="1"/>
  <c r="Z493" i="1"/>
  <c r="W493" i="1"/>
  <c r="Z485" i="1"/>
  <c r="W485" i="1"/>
  <c r="Z461" i="1"/>
  <c r="W461" i="1"/>
  <c r="Z453" i="1"/>
  <c r="W453" i="1"/>
  <c r="Z445" i="1"/>
  <c r="W445" i="1"/>
  <c r="Z437" i="1"/>
  <c r="W437" i="1"/>
  <c r="Z429" i="1"/>
  <c r="W429" i="1"/>
  <c r="Z421" i="1"/>
  <c r="W421" i="1"/>
  <c r="Z397" i="1"/>
  <c r="W397" i="1"/>
  <c r="Z389" i="1"/>
  <c r="W389" i="1"/>
  <c r="Z381" i="1"/>
  <c r="W381" i="1"/>
  <c r="Z373" i="1"/>
  <c r="W373" i="1"/>
  <c r="Z365" i="1"/>
  <c r="W365" i="1"/>
  <c r="Z357" i="1"/>
  <c r="W357" i="1"/>
  <c r="Z333" i="1"/>
  <c r="W333" i="1"/>
  <c r="Z325" i="1"/>
  <c r="W325" i="1"/>
  <c r="Z317" i="1"/>
  <c r="W317" i="1"/>
  <c r="Z309" i="1"/>
  <c r="W309" i="1"/>
  <c r="Z301" i="1"/>
  <c r="W301" i="1"/>
  <c r="Z293" i="1"/>
  <c r="W293" i="1"/>
  <c r="Z269" i="1"/>
  <c r="W269" i="1"/>
  <c r="Z261" i="1"/>
  <c r="W261" i="1"/>
  <c r="Z253" i="1"/>
  <c r="W253" i="1"/>
  <c r="Z245" i="1"/>
  <c r="W245" i="1"/>
  <c r="Z237" i="1"/>
  <c r="W237" i="1"/>
  <c r="Z229" i="1"/>
  <c r="W229" i="1"/>
  <c r="Z205" i="1"/>
  <c r="W205" i="1"/>
  <c r="Z197" i="1"/>
  <c r="W197" i="1"/>
  <c r="Z189" i="1"/>
  <c r="W189" i="1"/>
  <c r="Z181" i="1"/>
  <c r="W181" i="1"/>
  <c r="Z173" i="1"/>
  <c r="W173" i="1"/>
  <c r="Z165" i="1"/>
  <c r="W165" i="1"/>
  <c r="Z141" i="1"/>
  <c r="W141" i="1"/>
  <c r="Z133" i="1"/>
  <c r="W133" i="1"/>
  <c r="Z125" i="1"/>
  <c r="W125" i="1"/>
  <c r="Z117" i="1"/>
  <c r="W117" i="1"/>
  <c r="Z109" i="1"/>
  <c r="W109" i="1"/>
  <c r="Z101" i="1"/>
  <c r="W101" i="1"/>
  <c r="Z77" i="1"/>
  <c r="W77" i="1"/>
  <c r="Z69" i="1"/>
  <c r="W69" i="1"/>
  <c r="Z61" i="1"/>
  <c r="W61" i="1"/>
  <c r="Z53" i="1"/>
  <c r="W53" i="1"/>
  <c r="Z45" i="1"/>
  <c r="W45" i="1"/>
  <c r="W891" i="1"/>
  <c r="W859" i="1"/>
  <c r="W827" i="1"/>
  <c r="W795" i="1"/>
  <c r="W763" i="1"/>
  <c r="W731" i="1"/>
  <c r="W699" i="1"/>
  <c r="W638" i="1"/>
  <c r="W556" i="1"/>
  <c r="W469" i="1"/>
  <c r="W382" i="1"/>
  <c r="W300" i="1"/>
  <c r="W213" i="1"/>
  <c r="W126" i="1"/>
  <c r="Z635" i="1"/>
  <c r="W635" i="1"/>
  <c r="Z355" i="1"/>
  <c r="W355" i="1"/>
  <c r="Z323" i="1"/>
  <c r="W323" i="1"/>
  <c r="Z267" i="1"/>
  <c r="W267" i="1"/>
  <c r="Z195" i="1"/>
  <c r="W195" i="1"/>
  <c r="Z155" i="1"/>
  <c r="W155" i="1"/>
  <c r="Z91" i="1"/>
  <c r="W91" i="1"/>
  <c r="Z43" i="1"/>
  <c r="W43" i="1"/>
  <c r="Z670" i="1"/>
  <c r="W670" i="1"/>
  <c r="Z654" i="1"/>
  <c r="W654" i="1"/>
  <c r="Z622" i="1"/>
  <c r="W622" i="1"/>
  <c r="Z606" i="1"/>
  <c r="W606" i="1"/>
  <c r="Z590" i="1"/>
  <c r="W590" i="1"/>
  <c r="Z566" i="1"/>
  <c r="W566" i="1"/>
  <c r="Z550" i="1"/>
  <c r="W550" i="1"/>
  <c r="Z534" i="1"/>
  <c r="W534" i="1"/>
  <c r="Z502" i="1"/>
  <c r="W502" i="1"/>
  <c r="Z486" i="1"/>
  <c r="W486" i="1"/>
  <c r="Z470" i="1"/>
  <c r="W470" i="1"/>
  <c r="Z438" i="1"/>
  <c r="W438" i="1"/>
  <c r="Z422" i="1"/>
  <c r="W422" i="1"/>
  <c r="Z406" i="1"/>
  <c r="W406" i="1"/>
  <c r="Z374" i="1"/>
  <c r="W374" i="1"/>
  <c r="Z358" i="1"/>
  <c r="W358" i="1"/>
  <c r="Z342" i="1"/>
  <c r="W342" i="1"/>
  <c r="Z310" i="1"/>
  <c r="W310" i="1"/>
  <c r="Z294" i="1"/>
  <c r="W294" i="1"/>
  <c r="Z278" i="1"/>
  <c r="W278" i="1"/>
  <c r="Z270" i="1"/>
  <c r="W270" i="1"/>
  <c r="Z246" i="1"/>
  <c r="W246" i="1"/>
  <c r="Z230" i="1"/>
  <c r="W230" i="1"/>
  <c r="Z222" i="1"/>
  <c r="W222" i="1"/>
  <c r="Z214" i="1"/>
  <c r="W214" i="1"/>
  <c r="Z182" i="1"/>
  <c r="W182" i="1"/>
  <c r="Z174" i="1"/>
  <c r="W174" i="1"/>
  <c r="Z166" i="1"/>
  <c r="W166" i="1"/>
  <c r="Z158" i="1"/>
  <c r="W158" i="1"/>
  <c r="Z150" i="1"/>
  <c r="W150" i="1"/>
  <c r="Z142" i="1"/>
  <c r="W142" i="1"/>
  <c r="Z110" i="1"/>
  <c r="W110" i="1"/>
  <c r="Z94" i="1"/>
  <c r="W94" i="1"/>
  <c r="Z54" i="1"/>
  <c r="W54" i="1"/>
  <c r="Z30" i="1"/>
  <c r="W30" i="1"/>
  <c r="Z14" i="1"/>
  <c r="W14" i="1"/>
  <c r="Z908" i="1"/>
  <c r="W908" i="1"/>
  <c r="Z900" i="1"/>
  <c r="W900" i="1"/>
  <c r="Z892" i="1"/>
  <c r="W892" i="1"/>
  <c r="Z884" i="1"/>
  <c r="W884" i="1"/>
  <c r="Z876" i="1"/>
  <c r="W876" i="1"/>
  <c r="Z868" i="1"/>
  <c r="W868" i="1"/>
  <c r="Z860" i="1"/>
  <c r="W860" i="1"/>
  <c r="Z852" i="1"/>
  <c r="W852" i="1"/>
  <c r="Z844" i="1"/>
  <c r="W844" i="1"/>
  <c r="Z836" i="1"/>
  <c r="W836" i="1"/>
  <c r="Z828" i="1"/>
  <c r="W828" i="1"/>
  <c r="Z820" i="1"/>
  <c r="W820" i="1"/>
  <c r="Z812" i="1"/>
  <c r="W812" i="1"/>
  <c r="Z804" i="1"/>
  <c r="W804" i="1"/>
  <c r="Z796" i="1"/>
  <c r="W796" i="1"/>
  <c r="Z788" i="1"/>
  <c r="W788" i="1"/>
  <c r="Z780" i="1"/>
  <c r="W780" i="1"/>
  <c r="Z772" i="1"/>
  <c r="W772" i="1"/>
  <c r="Z764" i="1"/>
  <c r="W764" i="1"/>
  <c r="Z756" i="1"/>
  <c r="W756" i="1"/>
  <c r="Z748" i="1"/>
  <c r="W748" i="1"/>
  <c r="Z740" i="1"/>
  <c r="W740" i="1"/>
  <c r="Z732" i="1"/>
  <c r="W732" i="1"/>
  <c r="Z724" i="1"/>
  <c r="W724" i="1"/>
  <c r="Z716" i="1"/>
  <c r="W716" i="1"/>
  <c r="Z708" i="1"/>
  <c r="W708" i="1"/>
  <c r="Z700" i="1"/>
  <c r="W700" i="1"/>
  <c r="Z692" i="1"/>
  <c r="W692" i="1"/>
  <c r="Z684" i="1"/>
  <c r="W684" i="1"/>
  <c r="Z676" i="1"/>
  <c r="W676" i="1"/>
  <c r="Z668" i="1"/>
  <c r="W668" i="1"/>
  <c r="Z660" i="1"/>
  <c r="W660" i="1"/>
  <c r="Z652" i="1"/>
  <c r="W652" i="1"/>
  <c r="Z644" i="1"/>
  <c r="W644" i="1"/>
  <c r="Z636" i="1"/>
  <c r="W636" i="1"/>
  <c r="Z612" i="1"/>
  <c r="W612" i="1"/>
  <c r="Z604" i="1"/>
  <c r="W604" i="1"/>
  <c r="Z596" i="1"/>
  <c r="W596" i="1"/>
  <c r="Z588" i="1"/>
  <c r="W588" i="1"/>
  <c r="Z580" i="1"/>
  <c r="W580" i="1"/>
  <c r="Z572" i="1"/>
  <c r="W572" i="1"/>
  <c r="Z548" i="1"/>
  <c r="W548" i="1"/>
  <c r="Z540" i="1"/>
  <c r="W540" i="1"/>
  <c r="Z532" i="1"/>
  <c r="W532" i="1"/>
  <c r="Z524" i="1"/>
  <c r="W524" i="1"/>
  <c r="Z516" i="1"/>
  <c r="W516" i="1"/>
  <c r="Z508" i="1"/>
  <c r="W508" i="1"/>
  <c r="Z484" i="1"/>
  <c r="W484" i="1"/>
  <c r="Z476" i="1"/>
  <c r="W476" i="1"/>
  <c r="Z468" i="1"/>
  <c r="W468" i="1"/>
  <c r="Z460" i="1"/>
  <c r="W460" i="1"/>
  <c r="Z452" i="1"/>
  <c r="W452" i="1"/>
  <c r="Z444" i="1"/>
  <c r="W444" i="1"/>
  <c r="Z420" i="1"/>
  <c r="W420" i="1"/>
  <c r="Z412" i="1"/>
  <c r="W412" i="1"/>
  <c r="Z404" i="1"/>
  <c r="W404" i="1"/>
  <c r="Z396" i="1"/>
  <c r="W396" i="1"/>
  <c r="Z388" i="1"/>
  <c r="W388" i="1"/>
  <c r="Z380" i="1"/>
  <c r="W380" i="1"/>
  <c r="Z356" i="1"/>
  <c r="W356" i="1"/>
  <c r="Z348" i="1"/>
  <c r="W348" i="1"/>
  <c r="Z340" i="1"/>
  <c r="W340" i="1"/>
  <c r="Z332" i="1"/>
  <c r="W332" i="1"/>
  <c r="Z324" i="1"/>
  <c r="W324" i="1"/>
  <c r="Z316" i="1"/>
  <c r="W316" i="1"/>
  <c r="Z292" i="1"/>
  <c r="W292" i="1"/>
  <c r="Z284" i="1"/>
  <c r="W284" i="1"/>
  <c r="Z276" i="1"/>
  <c r="W276" i="1"/>
  <c r="W886" i="1"/>
  <c r="W854" i="1"/>
  <c r="W822" i="1"/>
  <c r="W790" i="1"/>
  <c r="W758" i="1"/>
  <c r="W726" i="1"/>
  <c r="W694" i="1"/>
  <c r="W628" i="1"/>
  <c r="W541" i="1"/>
  <c r="W454" i="1"/>
  <c r="W372" i="1"/>
  <c r="W285" i="1"/>
  <c r="W198" i="1"/>
  <c r="Z5" i="1"/>
  <c r="W5" i="1"/>
  <c r="W220" i="1"/>
  <c r="W156" i="1"/>
  <c r="W92" i="1"/>
  <c r="W28" i="1"/>
  <c r="Z4" i="1"/>
  <c r="W4" i="1"/>
  <c r="W260" i="1"/>
  <c r="W196" i="1"/>
  <c r="W132" i="1"/>
  <c r="W68" i="1"/>
  <c r="Z234" i="1"/>
  <c r="W234" i="1"/>
  <c r="Z226" i="1"/>
  <c r="W226" i="1"/>
  <c r="Z218" i="1"/>
  <c r="W218" i="1"/>
  <c r="Z210" i="1"/>
  <c r="W210" i="1"/>
  <c r="Z202" i="1"/>
  <c r="W202" i="1"/>
  <c r="Z194" i="1"/>
  <c r="W194" i="1"/>
  <c r="Z186" i="1"/>
  <c r="W186" i="1"/>
  <c r="Z178" i="1"/>
  <c r="W178" i="1"/>
  <c r="Z170" i="1"/>
  <c r="W170" i="1"/>
  <c r="Z162" i="1"/>
  <c r="W162" i="1"/>
  <c r="Z154" i="1"/>
  <c r="W154" i="1"/>
  <c r="Z146" i="1"/>
  <c r="W146" i="1"/>
  <c r="Z138" i="1"/>
  <c r="W138" i="1"/>
  <c r="Z130" i="1"/>
  <c r="W130" i="1"/>
  <c r="Z122" i="1"/>
  <c r="W122" i="1"/>
  <c r="Z114" i="1"/>
  <c r="W114" i="1"/>
  <c r="Z106" i="1"/>
  <c r="W106" i="1"/>
  <c r="Z98" i="1"/>
  <c r="W98" i="1"/>
  <c r="Z90" i="1"/>
  <c r="W90" i="1"/>
  <c r="Z82" i="1"/>
  <c r="W82" i="1"/>
  <c r="Z74" i="1"/>
  <c r="W74" i="1"/>
  <c r="Z66" i="1"/>
  <c r="W66" i="1"/>
  <c r="Z58" i="1"/>
  <c r="W58" i="1"/>
  <c r="Z50" i="1"/>
  <c r="W50" i="1"/>
  <c r="Z42" i="1"/>
  <c r="W42" i="1"/>
  <c r="Z34" i="1"/>
  <c r="W34" i="1"/>
  <c r="Z26" i="1"/>
  <c r="W26" i="1"/>
  <c r="Z18" i="1"/>
  <c r="W18" i="1"/>
  <c r="Z10" i="1"/>
  <c r="W10" i="1"/>
  <c r="W212" i="1"/>
  <c r="W148" i="1"/>
  <c r="W84" i="1"/>
  <c r="W20" i="1"/>
  <c r="W252" i="1"/>
  <c r="W188" i="1"/>
  <c r="W124" i="1"/>
  <c r="W60" i="1"/>
  <c r="W37" i="1"/>
  <c r="Z568" i="1"/>
  <c r="W568" i="1"/>
  <c r="Z560" i="1"/>
  <c r="W560" i="1"/>
  <c r="Z552" i="1"/>
  <c r="W552" i="1"/>
  <c r="Z544" i="1"/>
  <c r="W544" i="1"/>
  <c r="Z536" i="1"/>
  <c r="W536" i="1"/>
  <c r="Z528" i="1"/>
  <c r="W528" i="1"/>
  <c r="Z520" i="1"/>
  <c r="W520" i="1"/>
  <c r="Z512" i="1"/>
  <c r="W512" i="1"/>
  <c r="Z504" i="1"/>
  <c r="W504" i="1"/>
  <c r="Z496" i="1"/>
  <c r="W496" i="1"/>
  <c r="Z488" i="1"/>
  <c r="W488" i="1"/>
  <c r="Z480" i="1"/>
  <c r="W480" i="1"/>
  <c r="Z472" i="1"/>
  <c r="W472" i="1"/>
  <c r="Z464" i="1"/>
  <c r="W464" i="1"/>
  <c r="Z456" i="1"/>
  <c r="W456" i="1"/>
  <c r="Z448" i="1"/>
  <c r="W448" i="1"/>
  <c r="Z440" i="1"/>
  <c r="W440" i="1"/>
  <c r="Z432" i="1"/>
  <c r="W432" i="1"/>
  <c r="Z424" i="1"/>
  <c r="W424" i="1"/>
  <c r="Z416" i="1"/>
  <c r="W416" i="1"/>
  <c r="Z408" i="1"/>
  <c r="W408" i="1"/>
  <c r="Z400" i="1"/>
  <c r="W400" i="1"/>
  <c r="Z392" i="1"/>
  <c r="W392" i="1"/>
  <c r="Z384" i="1"/>
  <c r="W384" i="1"/>
  <c r="Z376" i="1"/>
  <c r="W376" i="1"/>
  <c r="Z368" i="1"/>
  <c r="W368" i="1"/>
  <c r="Z360" i="1"/>
  <c r="W360" i="1"/>
  <c r="Z352" i="1"/>
  <c r="W352" i="1"/>
  <c r="Z344" i="1"/>
  <c r="W344" i="1"/>
  <c r="Z336" i="1"/>
  <c r="W336" i="1"/>
  <c r="Z328" i="1"/>
  <c r="W328" i="1"/>
  <c r="Z320" i="1"/>
  <c r="W320" i="1"/>
  <c r="Z312" i="1"/>
  <c r="W312" i="1"/>
  <c r="Z304" i="1"/>
  <c r="W304" i="1"/>
  <c r="Z296" i="1"/>
  <c r="W296" i="1"/>
  <c r="Z288" i="1"/>
  <c r="W288" i="1"/>
  <c r="Z280" i="1"/>
  <c r="W280" i="1"/>
  <c r="Z272" i="1"/>
  <c r="W272" i="1"/>
  <c r="Z264" i="1"/>
  <c r="W264" i="1"/>
  <c r="Z256" i="1"/>
  <c r="W256" i="1"/>
  <c r="Z248" i="1"/>
  <c r="W248" i="1"/>
  <c r="Z240" i="1"/>
  <c r="W240" i="1"/>
  <c r="Z232" i="1"/>
  <c r="W232" i="1"/>
  <c r="Z224" i="1"/>
  <c r="W224" i="1"/>
  <c r="Z216" i="1"/>
  <c r="W216" i="1"/>
  <c r="Z208" i="1"/>
  <c r="W208" i="1"/>
  <c r="Z200" i="1"/>
  <c r="W200" i="1"/>
  <c r="Z192" i="1"/>
  <c r="W192" i="1"/>
  <c r="Z184" i="1"/>
  <c r="W184" i="1"/>
  <c r="Z176" i="1"/>
  <c r="W176" i="1"/>
  <c r="Z168" i="1"/>
  <c r="W168" i="1"/>
  <c r="Z160" i="1"/>
  <c r="W160" i="1"/>
  <c r="Z152" i="1"/>
  <c r="W152" i="1"/>
  <c r="Z144" i="1"/>
  <c r="W144" i="1"/>
  <c r="Z136" i="1"/>
  <c r="W136" i="1"/>
  <c r="Z128" i="1"/>
  <c r="W128" i="1"/>
  <c r="Z120" i="1"/>
  <c r="W120" i="1"/>
  <c r="Z112" i="1"/>
  <c r="W112" i="1"/>
  <c r="Z104" i="1"/>
  <c r="W104" i="1"/>
  <c r="Z96" i="1"/>
  <c r="W96" i="1"/>
  <c r="Z88" i="1"/>
  <c r="W88" i="1"/>
  <c r="Z80" i="1"/>
  <c r="W80" i="1"/>
  <c r="Z72" i="1"/>
  <c r="W72" i="1"/>
  <c r="Z64" i="1"/>
  <c r="W64" i="1"/>
  <c r="Z56" i="1"/>
  <c r="W56" i="1"/>
  <c r="Z48" i="1"/>
  <c r="W48" i="1"/>
  <c r="Z40" i="1"/>
  <c r="W40" i="1"/>
  <c r="Z32" i="1"/>
  <c r="W32" i="1"/>
  <c r="Z24" i="1"/>
  <c r="W24" i="1"/>
  <c r="Z16" i="1"/>
  <c r="W16" i="1"/>
  <c r="Z8" i="1"/>
  <c r="W8" i="1"/>
  <c r="W228" i="1"/>
  <c r="W164" i="1"/>
  <c r="W100" i="1"/>
  <c r="W36" i="1"/>
  <c r="W13" i="1"/>
  <c r="Z575" i="1"/>
  <c r="W575" i="1"/>
  <c r="Z567" i="1"/>
  <c r="W567" i="1"/>
  <c r="Z559" i="1"/>
  <c r="W559" i="1"/>
  <c r="Z551" i="1"/>
  <c r="W551" i="1"/>
  <c r="Z543" i="1"/>
  <c r="W543" i="1"/>
  <c r="Z535" i="1"/>
  <c r="W535" i="1"/>
  <c r="Z527" i="1"/>
  <c r="W527" i="1"/>
  <c r="Z519" i="1"/>
  <c r="W519" i="1"/>
  <c r="Z511" i="1"/>
  <c r="W511" i="1"/>
  <c r="Z503" i="1"/>
  <c r="W503" i="1"/>
  <c r="Z495" i="1"/>
  <c r="W495" i="1"/>
  <c r="Z487" i="1"/>
  <c r="W487" i="1"/>
  <c r="Z479" i="1"/>
  <c r="W479" i="1"/>
  <c r="Z471" i="1"/>
  <c r="W471" i="1"/>
  <c r="Z463" i="1"/>
  <c r="W463" i="1"/>
  <c r="Z455" i="1"/>
  <c r="W455" i="1"/>
  <c r="Z447" i="1"/>
  <c r="W447" i="1"/>
  <c r="Z439" i="1"/>
  <c r="W439" i="1"/>
  <c r="Z431" i="1"/>
  <c r="W431" i="1"/>
  <c r="Z423" i="1"/>
  <c r="W423" i="1"/>
  <c r="Z415" i="1"/>
  <c r="W415" i="1"/>
  <c r="Z407" i="1"/>
  <c r="W407" i="1"/>
  <c r="Z399" i="1"/>
  <c r="W399" i="1"/>
  <c r="Z391" i="1"/>
  <c r="W391" i="1"/>
  <c r="Z383" i="1"/>
  <c r="W383" i="1"/>
  <c r="Z375" i="1"/>
  <c r="W375" i="1"/>
  <c r="Z367" i="1"/>
  <c r="W367" i="1"/>
  <c r="Z359" i="1"/>
  <c r="W359" i="1"/>
  <c r="Z351" i="1"/>
  <c r="W351" i="1"/>
  <c r="Z343" i="1"/>
  <c r="W343" i="1"/>
  <c r="Z335" i="1"/>
  <c r="W335" i="1"/>
  <c r="Z327" i="1"/>
  <c r="W327" i="1"/>
  <c r="Z319" i="1"/>
  <c r="W319" i="1"/>
  <c r="Z311" i="1"/>
  <c r="W311" i="1"/>
  <c r="Z303" i="1"/>
  <c r="W303" i="1"/>
  <c r="Z295" i="1"/>
  <c r="W295" i="1"/>
  <c r="Z287" i="1"/>
  <c r="W287" i="1"/>
  <c r="Z279" i="1"/>
  <c r="W279" i="1"/>
  <c r="Z271" i="1"/>
  <c r="W271" i="1"/>
  <c r="Z263" i="1"/>
  <c r="W263" i="1"/>
  <c r="Z255" i="1"/>
  <c r="W255" i="1"/>
  <c r="Z247" i="1"/>
  <c r="W247" i="1"/>
  <c r="Z239" i="1"/>
  <c r="W239" i="1"/>
  <c r="Z231" i="1"/>
  <c r="W231" i="1"/>
  <c r="Z223" i="1"/>
  <c r="W223" i="1"/>
  <c r="Z215" i="1"/>
  <c r="W215" i="1"/>
  <c r="Z207" i="1"/>
  <c r="W207" i="1"/>
  <c r="Z199" i="1"/>
  <c r="W199" i="1"/>
  <c r="Z191" i="1"/>
  <c r="W191" i="1"/>
  <c r="Z183" i="1"/>
  <c r="W183" i="1"/>
  <c r="Z175" i="1"/>
  <c r="W175" i="1"/>
  <c r="Z167" i="1"/>
  <c r="W167" i="1"/>
  <c r="Z159" i="1"/>
  <c r="W159" i="1"/>
  <c r="Z151" i="1"/>
  <c r="W151" i="1"/>
  <c r="Z143" i="1"/>
  <c r="W143" i="1"/>
  <c r="Z135" i="1"/>
  <c r="W135" i="1"/>
  <c r="Z127" i="1"/>
  <c r="W127" i="1"/>
  <c r="Z119" i="1"/>
  <c r="W119" i="1"/>
  <c r="Z111" i="1"/>
  <c r="W111" i="1"/>
  <c r="Z103" i="1"/>
  <c r="W103" i="1"/>
  <c r="Z95" i="1"/>
  <c r="W95" i="1"/>
  <c r="Z87" i="1"/>
  <c r="W87" i="1"/>
  <c r="Z79" i="1"/>
  <c r="W79" i="1"/>
  <c r="Z71" i="1"/>
  <c r="W71" i="1"/>
  <c r="Z63" i="1"/>
  <c r="W63" i="1"/>
  <c r="Z55" i="1"/>
  <c r="W55" i="1"/>
  <c r="Z47" i="1"/>
  <c r="W47" i="1"/>
  <c r="Z39" i="1"/>
  <c r="W39" i="1"/>
  <c r="Z31" i="1"/>
  <c r="W31" i="1"/>
  <c r="Z23" i="1"/>
  <c r="W23" i="1"/>
  <c r="Z15" i="1"/>
  <c r="W15" i="1"/>
  <c r="Z7" i="1"/>
  <c r="W7" i="1"/>
  <c r="W268" i="1"/>
  <c r="W204" i="1"/>
  <c r="W140" i="1"/>
  <c r="W76" i="1"/>
  <c r="W12" i="1"/>
  <c r="AB47" i="1" l="1"/>
  <c r="AA47" i="1"/>
  <c r="AB207" i="1"/>
  <c r="AA207" i="1"/>
  <c r="AB335" i="1"/>
  <c r="AA335" i="1"/>
  <c r="AB527" i="1"/>
  <c r="AA527" i="1"/>
  <c r="AB98" i="1"/>
  <c r="AA98" i="1"/>
  <c r="AB226" i="1"/>
  <c r="AA226" i="1"/>
  <c r="AB759" i="1"/>
  <c r="AA759" i="1"/>
  <c r="AB778" i="1"/>
  <c r="AA778" i="1"/>
  <c r="AB370" i="1"/>
  <c r="AA370" i="1"/>
  <c r="AB634" i="1"/>
  <c r="AA634" i="1"/>
  <c r="AB818" i="1"/>
  <c r="AA818" i="1"/>
  <c r="AB83" i="1"/>
  <c r="AA83" i="1"/>
  <c r="AB9" i="1"/>
  <c r="AA9" i="1"/>
  <c r="AB41" i="1"/>
  <c r="AA41" i="1"/>
  <c r="AB73" i="1"/>
  <c r="AA73" i="1"/>
  <c r="AB105" i="1"/>
  <c r="AA105" i="1"/>
  <c r="AB137" i="1"/>
  <c r="AA137" i="1"/>
  <c r="AB169" i="1"/>
  <c r="AA169" i="1"/>
  <c r="AB201" i="1"/>
  <c r="AA201" i="1"/>
  <c r="AB233" i="1"/>
  <c r="AA233" i="1"/>
  <c r="AB265" i="1"/>
  <c r="AA265" i="1"/>
  <c r="AB297" i="1"/>
  <c r="AA297" i="1"/>
  <c r="AB329" i="1"/>
  <c r="AA329" i="1"/>
  <c r="AB361" i="1"/>
  <c r="AA361" i="1"/>
  <c r="AB393" i="1"/>
  <c r="AA393" i="1"/>
  <c r="AB425" i="1"/>
  <c r="AA425" i="1"/>
  <c r="AB457" i="1"/>
  <c r="AA457" i="1"/>
  <c r="AB489" i="1"/>
  <c r="AA489" i="1"/>
  <c r="AB521" i="1"/>
  <c r="AA521" i="1"/>
  <c r="AB553" i="1"/>
  <c r="AA553" i="1"/>
  <c r="AB585" i="1"/>
  <c r="AA585" i="1"/>
  <c r="AB617" i="1"/>
  <c r="AA617" i="1"/>
  <c r="AB745" i="1"/>
  <c r="AA745" i="1"/>
  <c r="AB809" i="1"/>
  <c r="AA809" i="1"/>
  <c r="AB841" i="1"/>
  <c r="AA841" i="1"/>
  <c r="AB905" i="1"/>
  <c r="AA905" i="1"/>
  <c r="AB32" i="1"/>
  <c r="AA32" i="1"/>
  <c r="AB64" i="1"/>
  <c r="AA64" i="1"/>
  <c r="AB96" i="1"/>
  <c r="AA96" i="1"/>
  <c r="AB128" i="1"/>
  <c r="AA128" i="1"/>
  <c r="AB160" i="1"/>
  <c r="AA160" i="1"/>
  <c r="AB192" i="1"/>
  <c r="AA192" i="1"/>
  <c r="AB224" i="1"/>
  <c r="AA224" i="1"/>
  <c r="AB256" i="1"/>
  <c r="AA256" i="1"/>
  <c r="AB288" i="1"/>
  <c r="AA288" i="1"/>
  <c r="AB320" i="1"/>
  <c r="AA320" i="1"/>
  <c r="AB352" i="1"/>
  <c r="AA352" i="1"/>
  <c r="AB384" i="1"/>
  <c r="AA384" i="1"/>
  <c r="AB416" i="1"/>
  <c r="AA416" i="1"/>
  <c r="AB448" i="1"/>
  <c r="AA448" i="1"/>
  <c r="AB480" i="1"/>
  <c r="AA480" i="1"/>
  <c r="AB512" i="1"/>
  <c r="AA512" i="1"/>
  <c r="AB544" i="1"/>
  <c r="AA544" i="1"/>
  <c r="AB292" i="1"/>
  <c r="AA292" i="1"/>
  <c r="AB340" i="1"/>
  <c r="AA340" i="1"/>
  <c r="AB388" i="1"/>
  <c r="AA388" i="1"/>
  <c r="AB420" i="1"/>
  <c r="AA420" i="1"/>
  <c r="AB468" i="1"/>
  <c r="AA468" i="1"/>
  <c r="AB516" i="1"/>
  <c r="AA516" i="1"/>
  <c r="AB548" i="1"/>
  <c r="AA548" i="1"/>
  <c r="AB596" i="1"/>
  <c r="AA596" i="1"/>
  <c r="AB644" i="1"/>
  <c r="AA644" i="1"/>
  <c r="AB676" i="1"/>
  <c r="AA676" i="1"/>
  <c r="AB708" i="1"/>
  <c r="AA708" i="1"/>
  <c r="AB740" i="1"/>
  <c r="AA740" i="1"/>
  <c r="AB772" i="1"/>
  <c r="AA772" i="1"/>
  <c r="AB804" i="1"/>
  <c r="AA804" i="1"/>
  <c r="AB836" i="1"/>
  <c r="AA836" i="1"/>
  <c r="AB868" i="1"/>
  <c r="AA868" i="1"/>
  <c r="AB900" i="1"/>
  <c r="AA900" i="1"/>
  <c r="AB54" i="1"/>
  <c r="AA54" i="1"/>
  <c r="AB150" i="1"/>
  <c r="AA150" i="1"/>
  <c r="AB182" i="1"/>
  <c r="AA182" i="1"/>
  <c r="AB246" i="1"/>
  <c r="AA246" i="1"/>
  <c r="AB310" i="1"/>
  <c r="AA310" i="1"/>
  <c r="AB406" i="1"/>
  <c r="AA406" i="1"/>
  <c r="AB486" i="1"/>
  <c r="AA486" i="1"/>
  <c r="AB566" i="1"/>
  <c r="AA566" i="1"/>
  <c r="AB654" i="1"/>
  <c r="AA654" i="1"/>
  <c r="AB155" i="1"/>
  <c r="AA155" i="1"/>
  <c r="AB355" i="1"/>
  <c r="AA355" i="1"/>
  <c r="AB69" i="1"/>
  <c r="AA69" i="1"/>
  <c r="AB117" i="1"/>
  <c r="AA117" i="1"/>
  <c r="AB165" i="1"/>
  <c r="AA165" i="1"/>
  <c r="AB197" i="1"/>
  <c r="AA197" i="1"/>
  <c r="AB245" i="1"/>
  <c r="AA245" i="1"/>
  <c r="AB293" i="1"/>
  <c r="AA293" i="1"/>
  <c r="AB325" i="1"/>
  <c r="AA325" i="1"/>
  <c r="AB373" i="1"/>
  <c r="AA373" i="1"/>
  <c r="AB421" i="1"/>
  <c r="AA421" i="1"/>
  <c r="AB453" i="1"/>
  <c r="AA453" i="1"/>
  <c r="AB501" i="1"/>
  <c r="AA501" i="1"/>
  <c r="AB549" i="1"/>
  <c r="AA549" i="1"/>
  <c r="AB581" i="1"/>
  <c r="AA581" i="1"/>
  <c r="AB629" i="1"/>
  <c r="AA629" i="1"/>
  <c r="AB677" i="1"/>
  <c r="AA677" i="1"/>
  <c r="AB709" i="1"/>
  <c r="AA709" i="1"/>
  <c r="AB741" i="1"/>
  <c r="AA741" i="1"/>
  <c r="AB773" i="1"/>
  <c r="AA773" i="1"/>
  <c r="AB805" i="1"/>
  <c r="AA805" i="1"/>
  <c r="AB837" i="1"/>
  <c r="AA837" i="1"/>
  <c r="AB869" i="1"/>
  <c r="AA869" i="1"/>
  <c r="AB901" i="1"/>
  <c r="AA901" i="1"/>
  <c r="AB206" i="1"/>
  <c r="AA206" i="1"/>
  <c r="AB334" i="1"/>
  <c r="AA334" i="1"/>
  <c r="AB414" i="1"/>
  <c r="AA414" i="1"/>
  <c r="AB494" i="1"/>
  <c r="AA494" i="1"/>
  <c r="AB598" i="1"/>
  <c r="AA598" i="1"/>
  <c r="AB678" i="1"/>
  <c r="AA678" i="1"/>
  <c r="AB211" i="1"/>
  <c r="AA211" i="1"/>
  <c r="AB387" i="1"/>
  <c r="AA387" i="1"/>
  <c r="AB579" i="1"/>
  <c r="AA579" i="1"/>
  <c r="AB62" i="1"/>
  <c r="AA62" i="1"/>
  <c r="AB118" i="1"/>
  <c r="AA118" i="1"/>
  <c r="AB139" i="1"/>
  <c r="AA139" i="1"/>
  <c r="AB371" i="1"/>
  <c r="AA371" i="1"/>
  <c r="AB547" i="1"/>
  <c r="AA547" i="1"/>
  <c r="AB27" i="1"/>
  <c r="AA27" i="1"/>
  <c r="AB251" i="1"/>
  <c r="AA251" i="1"/>
  <c r="AB451" i="1"/>
  <c r="AA451" i="1"/>
  <c r="AB595" i="1"/>
  <c r="AA595" i="1"/>
  <c r="AB600" i="1"/>
  <c r="AA600" i="1"/>
  <c r="AB632" i="1"/>
  <c r="AA632" i="1"/>
  <c r="AB664" i="1"/>
  <c r="AA664" i="1"/>
  <c r="AB696" i="1"/>
  <c r="AA696" i="1"/>
  <c r="AB728" i="1"/>
  <c r="AA728" i="1"/>
  <c r="AB760" i="1"/>
  <c r="AA760" i="1"/>
  <c r="AB792" i="1"/>
  <c r="AA792" i="1"/>
  <c r="AB824" i="1"/>
  <c r="AA824" i="1"/>
  <c r="AB856" i="1"/>
  <c r="AA856" i="1"/>
  <c r="AB888" i="1"/>
  <c r="AA888" i="1"/>
  <c r="AB266" i="1"/>
  <c r="AA266" i="1"/>
  <c r="AB386" i="1"/>
  <c r="AA386" i="1"/>
  <c r="AB490" i="1"/>
  <c r="AA490" i="1"/>
  <c r="AB586" i="1"/>
  <c r="AA586" i="1"/>
  <c r="AB698" i="1"/>
  <c r="AA698" i="1"/>
  <c r="AB794" i="1"/>
  <c r="AA794" i="1"/>
  <c r="AB2" i="1"/>
  <c r="AA2" i="1"/>
  <c r="AB163" i="1"/>
  <c r="AA163" i="1"/>
  <c r="AB395" i="1"/>
  <c r="AA395" i="1"/>
  <c r="AB603" i="1"/>
  <c r="AA603" i="1"/>
  <c r="AB219" i="1"/>
  <c r="AA219" i="1"/>
  <c r="AB531" i="1"/>
  <c r="AA531" i="1"/>
  <c r="AB15" i="1"/>
  <c r="AA15" i="1"/>
  <c r="AB271" i="1"/>
  <c r="AA271" i="1"/>
  <c r="AB431" i="1"/>
  <c r="AA431" i="1"/>
  <c r="AB194" i="1"/>
  <c r="AA194" i="1"/>
  <c r="AB727" i="1"/>
  <c r="AA727" i="1"/>
  <c r="AB887" i="1"/>
  <c r="AA887" i="1"/>
  <c r="AB690" i="1"/>
  <c r="AA690" i="1"/>
  <c r="AB290" i="1"/>
  <c r="AA290" i="1"/>
  <c r="AB283" i="1"/>
  <c r="AA283" i="1"/>
  <c r="AB777" i="1"/>
  <c r="AA777" i="1"/>
  <c r="AB55" i="1"/>
  <c r="AA55" i="1"/>
  <c r="AB607" i="1"/>
  <c r="AA607" i="1"/>
  <c r="AB639" i="1"/>
  <c r="AA639" i="1"/>
  <c r="AB671" i="1"/>
  <c r="AA671" i="1"/>
  <c r="AB703" i="1"/>
  <c r="AA703" i="1"/>
  <c r="AB735" i="1"/>
  <c r="AA735" i="1"/>
  <c r="AB767" i="1"/>
  <c r="AA767" i="1"/>
  <c r="AB799" i="1"/>
  <c r="AA799" i="1"/>
  <c r="AB831" i="1"/>
  <c r="AA831" i="1"/>
  <c r="AB863" i="1"/>
  <c r="AA863" i="1"/>
  <c r="AB895" i="1"/>
  <c r="AA895" i="1"/>
  <c r="AB242" i="1"/>
  <c r="AA242" i="1"/>
  <c r="AB330" i="1"/>
  <c r="AA330" i="1"/>
  <c r="AB426" i="1"/>
  <c r="AA426" i="1"/>
  <c r="AB530" i="1"/>
  <c r="AA530" i="1"/>
  <c r="AB618" i="1"/>
  <c r="AA618" i="1"/>
  <c r="AB706" i="1"/>
  <c r="AA706" i="1"/>
  <c r="AB810" i="1"/>
  <c r="AA810" i="1"/>
  <c r="AB898" i="1"/>
  <c r="AA898" i="1"/>
  <c r="AB314" i="1"/>
  <c r="AA314" i="1"/>
  <c r="AB394" i="1"/>
  <c r="AA394" i="1"/>
  <c r="AB482" i="1"/>
  <c r="AA482" i="1"/>
  <c r="AB578" i="1"/>
  <c r="AA578" i="1"/>
  <c r="AB658" i="1"/>
  <c r="AA658" i="1"/>
  <c r="AB762" i="1"/>
  <c r="AA762" i="1"/>
  <c r="AB842" i="1"/>
  <c r="AA842" i="1"/>
  <c r="AB131" i="1"/>
  <c r="AA131" i="1"/>
  <c r="AB347" i="1"/>
  <c r="AA347" i="1"/>
  <c r="AB523" i="1"/>
  <c r="AA523" i="1"/>
  <c r="AB17" i="1"/>
  <c r="AA17" i="1"/>
  <c r="AB49" i="1"/>
  <c r="AA49" i="1"/>
  <c r="AB81" i="1"/>
  <c r="AA81" i="1"/>
  <c r="AB113" i="1"/>
  <c r="AA113" i="1"/>
  <c r="AB145" i="1"/>
  <c r="AA145" i="1"/>
  <c r="AB177" i="1"/>
  <c r="AA177" i="1"/>
  <c r="AB209" i="1"/>
  <c r="AA209" i="1"/>
  <c r="AB241" i="1"/>
  <c r="AA241" i="1"/>
  <c r="AB273" i="1"/>
  <c r="AA273" i="1"/>
  <c r="AB305" i="1"/>
  <c r="AA305" i="1"/>
  <c r="AB337" i="1"/>
  <c r="AA337" i="1"/>
  <c r="AB369" i="1"/>
  <c r="AA369" i="1"/>
  <c r="AB401" i="1"/>
  <c r="AA401" i="1"/>
  <c r="AB433" i="1"/>
  <c r="AA433" i="1"/>
  <c r="AB465" i="1"/>
  <c r="AA465" i="1"/>
  <c r="AB497" i="1"/>
  <c r="AA497" i="1"/>
  <c r="AB529" i="1"/>
  <c r="AA529" i="1"/>
  <c r="AB561" i="1"/>
  <c r="AA561" i="1"/>
  <c r="AB593" i="1"/>
  <c r="AA593" i="1"/>
  <c r="AB625" i="1"/>
  <c r="AA625" i="1"/>
  <c r="AB657" i="1"/>
  <c r="AA657" i="1"/>
  <c r="AB689" i="1"/>
  <c r="AA689" i="1"/>
  <c r="AB721" i="1"/>
  <c r="AA721" i="1"/>
  <c r="AB753" i="1"/>
  <c r="AA753" i="1"/>
  <c r="AB785" i="1"/>
  <c r="AA785" i="1"/>
  <c r="AB817" i="1"/>
  <c r="AA817" i="1"/>
  <c r="AB849" i="1"/>
  <c r="AA849" i="1"/>
  <c r="AB881" i="1"/>
  <c r="AA881" i="1"/>
  <c r="AB913" i="1"/>
  <c r="AA913" i="1"/>
  <c r="AB239" i="1"/>
  <c r="AA239" i="1"/>
  <c r="AB463" i="1"/>
  <c r="AA463" i="1"/>
  <c r="AB66" i="1"/>
  <c r="AA66" i="1"/>
  <c r="AB663" i="1"/>
  <c r="AA663" i="1"/>
  <c r="AB791" i="1"/>
  <c r="AA791" i="1"/>
  <c r="AB506" i="1"/>
  <c r="AA506" i="1"/>
  <c r="AB458" i="1"/>
  <c r="AA458" i="1"/>
  <c r="AB475" i="1"/>
  <c r="AA475" i="1"/>
  <c r="AB713" i="1"/>
  <c r="AA713" i="1"/>
  <c r="AB151" i="1"/>
  <c r="AA151" i="1"/>
  <c r="AB170" i="1"/>
  <c r="AA170" i="1"/>
  <c r="AB298" i="1"/>
  <c r="AA298" i="1"/>
  <c r="AB410" i="1"/>
  <c r="AA410" i="1"/>
  <c r="AB514" i="1"/>
  <c r="AA514" i="1"/>
  <c r="AB610" i="1"/>
  <c r="AA610" i="1"/>
  <c r="AB722" i="1"/>
  <c r="AA722" i="1"/>
  <c r="AB826" i="1"/>
  <c r="AA826" i="1"/>
  <c r="AB19" i="1"/>
  <c r="AA19" i="1"/>
  <c r="AB235" i="1"/>
  <c r="AA235" i="1"/>
  <c r="AB459" i="1"/>
  <c r="AA459" i="1"/>
  <c r="AB651" i="1"/>
  <c r="AA651" i="1"/>
  <c r="AB299" i="1"/>
  <c r="AA299" i="1"/>
  <c r="AB611" i="1"/>
  <c r="AA611" i="1"/>
  <c r="AB79" i="1"/>
  <c r="AA79" i="1"/>
  <c r="AB559" i="1"/>
  <c r="AA559" i="1"/>
  <c r="AB119" i="1"/>
  <c r="AA119" i="1"/>
  <c r="AB183" i="1"/>
  <c r="AA183" i="1"/>
  <c r="AB215" i="1"/>
  <c r="AA215" i="1"/>
  <c r="AB247" i="1"/>
  <c r="AA247" i="1"/>
  <c r="AB279" i="1"/>
  <c r="AA279" i="1"/>
  <c r="AB311" i="1"/>
  <c r="AA311" i="1"/>
  <c r="AB343" i="1"/>
  <c r="AA343" i="1"/>
  <c r="AB375" i="1"/>
  <c r="AA375" i="1"/>
  <c r="AB407" i="1"/>
  <c r="AA407" i="1"/>
  <c r="AB439" i="1"/>
  <c r="AA439" i="1"/>
  <c r="AB471" i="1"/>
  <c r="AA471" i="1"/>
  <c r="AB503" i="1"/>
  <c r="AA503" i="1"/>
  <c r="AB106" i="1"/>
  <c r="AA106" i="1"/>
  <c r="AB40" i="1"/>
  <c r="AA40" i="1"/>
  <c r="AB104" i="1"/>
  <c r="AA104" i="1"/>
  <c r="AB168" i="1"/>
  <c r="AA168" i="1"/>
  <c r="AB232" i="1"/>
  <c r="AA232" i="1"/>
  <c r="AB264" i="1"/>
  <c r="AA264" i="1"/>
  <c r="AB328" i="1"/>
  <c r="AA328" i="1"/>
  <c r="AB392" i="1"/>
  <c r="AA392" i="1"/>
  <c r="AB456" i="1"/>
  <c r="AA456" i="1"/>
  <c r="AB552" i="1"/>
  <c r="AA552" i="1"/>
  <c r="AB348" i="1"/>
  <c r="AA348" i="1"/>
  <c r="AB444" i="1"/>
  <c r="AA444" i="1"/>
  <c r="AB524" i="1"/>
  <c r="AA524" i="1"/>
  <c r="AB604" i="1"/>
  <c r="AA604" i="1"/>
  <c r="AB684" i="1"/>
  <c r="AA684" i="1"/>
  <c r="AB748" i="1"/>
  <c r="AA748" i="1"/>
  <c r="AB812" i="1"/>
  <c r="AA812" i="1"/>
  <c r="AB876" i="1"/>
  <c r="AA876" i="1"/>
  <c r="AB94" i="1"/>
  <c r="AA94" i="1"/>
  <c r="AB214" i="1"/>
  <c r="AA214" i="1"/>
  <c r="AB342" i="1"/>
  <c r="AA342" i="1"/>
  <c r="AB502" i="1"/>
  <c r="AA502" i="1"/>
  <c r="AB195" i="1"/>
  <c r="AA195" i="1"/>
  <c r="AB77" i="1"/>
  <c r="AA77" i="1"/>
  <c r="AB205" i="1"/>
  <c r="AA205" i="1"/>
  <c r="AB333" i="1"/>
  <c r="AA333" i="1"/>
  <c r="AB461" i="1"/>
  <c r="AA461" i="1"/>
  <c r="AB589" i="1"/>
  <c r="AA589" i="1"/>
  <c r="AB685" i="1"/>
  <c r="AA685" i="1"/>
  <c r="AB781" i="1"/>
  <c r="AA781" i="1"/>
  <c r="AB877" i="1"/>
  <c r="AA877" i="1"/>
  <c r="AB430" i="1"/>
  <c r="AA430" i="1"/>
  <c r="AB627" i="1"/>
  <c r="AA627" i="1"/>
  <c r="AB31" i="1"/>
  <c r="AA31" i="1"/>
  <c r="AB63" i="1"/>
  <c r="AA63" i="1"/>
  <c r="AB95" i="1"/>
  <c r="AA95" i="1"/>
  <c r="AB127" i="1"/>
  <c r="AA127" i="1"/>
  <c r="AB159" i="1"/>
  <c r="AA159" i="1"/>
  <c r="AB191" i="1"/>
  <c r="AA191" i="1"/>
  <c r="AB223" i="1"/>
  <c r="AA223" i="1"/>
  <c r="AB255" i="1"/>
  <c r="AA255" i="1"/>
  <c r="AB287" i="1"/>
  <c r="AA287" i="1"/>
  <c r="AB319" i="1"/>
  <c r="AA319" i="1"/>
  <c r="AB351" i="1"/>
  <c r="AA351" i="1"/>
  <c r="AB383" i="1"/>
  <c r="AA383" i="1"/>
  <c r="AB415" i="1"/>
  <c r="AA415" i="1"/>
  <c r="AB447" i="1"/>
  <c r="AA447" i="1"/>
  <c r="AB479" i="1"/>
  <c r="AA479" i="1"/>
  <c r="AB511" i="1"/>
  <c r="AA511" i="1"/>
  <c r="AB543" i="1"/>
  <c r="AA543" i="1"/>
  <c r="AB575" i="1"/>
  <c r="AA575" i="1"/>
  <c r="AB18" i="1"/>
  <c r="AA18" i="1"/>
  <c r="AB50" i="1"/>
  <c r="AA50" i="1"/>
  <c r="AB82" i="1"/>
  <c r="AA82" i="1"/>
  <c r="AB114" i="1"/>
  <c r="AA114" i="1"/>
  <c r="AB146" i="1"/>
  <c r="AA146" i="1"/>
  <c r="AB178" i="1"/>
  <c r="AA178" i="1"/>
  <c r="AB210" i="1"/>
  <c r="AA210" i="1"/>
  <c r="AB583" i="1"/>
  <c r="AA583" i="1"/>
  <c r="AB615" i="1"/>
  <c r="AA615" i="1"/>
  <c r="AB647" i="1"/>
  <c r="AA647" i="1"/>
  <c r="AB679" i="1"/>
  <c r="AA679" i="1"/>
  <c r="AB711" i="1"/>
  <c r="AA711" i="1"/>
  <c r="AB743" i="1"/>
  <c r="AA743" i="1"/>
  <c r="AB775" i="1"/>
  <c r="AA775" i="1"/>
  <c r="AB807" i="1"/>
  <c r="AA807" i="1"/>
  <c r="AB839" i="1"/>
  <c r="AA839" i="1"/>
  <c r="AB871" i="1"/>
  <c r="AA871" i="1"/>
  <c r="AB903" i="1"/>
  <c r="AA903" i="1"/>
  <c r="AB258" i="1"/>
  <c r="AA258" i="1"/>
  <c r="AB354" i="1"/>
  <c r="AA354" i="1"/>
  <c r="AB450" i="1"/>
  <c r="AA450" i="1"/>
  <c r="AB554" i="1"/>
  <c r="AA554" i="1"/>
  <c r="AB650" i="1"/>
  <c r="AA650" i="1"/>
  <c r="AB730" i="1"/>
  <c r="AA730" i="1"/>
  <c r="AB834" i="1"/>
  <c r="AA834" i="1"/>
  <c r="AB250" i="1"/>
  <c r="AA250" i="1"/>
  <c r="AB322" i="1"/>
  <c r="AA322" i="1"/>
  <c r="AB418" i="1"/>
  <c r="AA418" i="1"/>
  <c r="AB498" i="1"/>
  <c r="AA498" i="1"/>
  <c r="AB594" i="1"/>
  <c r="AA594" i="1"/>
  <c r="AB682" i="1"/>
  <c r="AA682" i="1"/>
  <c r="AB786" i="1"/>
  <c r="AA786" i="1"/>
  <c r="AB866" i="1"/>
  <c r="AA866" i="1"/>
  <c r="AB179" i="1"/>
  <c r="AA179" i="1"/>
  <c r="AB403" i="1"/>
  <c r="AA403" i="1"/>
  <c r="AB571" i="1"/>
  <c r="AA571" i="1"/>
  <c r="AB25" i="1"/>
  <c r="AA25" i="1"/>
  <c r="AB57" i="1"/>
  <c r="AA57" i="1"/>
  <c r="AB89" i="1"/>
  <c r="AA89" i="1"/>
  <c r="AB121" i="1"/>
  <c r="AA121" i="1"/>
  <c r="AB153" i="1"/>
  <c r="AA153" i="1"/>
  <c r="AB185" i="1"/>
  <c r="AA185" i="1"/>
  <c r="AB217" i="1"/>
  <c r="AA217" i="1"/>
  <c r="AB249" i="1"/>
  <c r="AA249" i="1"/>
  <c r="AB281" i="1"/>
  <c r="AA281" i="1"/>
  <c r="AB313" i="1"/>
  <c r="AA313" i="1"/>
  <c r="AB345" i="1"/>
  <c r="AA345" i="1"/>
  <c r="AB377" i="1"/>
  <c r="AA377" i="1"/>
  <c r="AB409" i="1"/>
  <c r="AA409" i="1"/>
  <c r="AB441" i="1"/>
  <c r="AA441" i="1"/>
  <c r="AB473" i="1"/>
  <c r="AA473" i="1"/>
  <c r="AB505" i="1"/>
  <c r="AA505" i="1"/>
  <c r="AB537" i="1"/>
  <c r="AA537" i="1"/>
  <c r="AB569" i="1"/>
  <c r="AA569" i="1"/>
  <c r="AB601" i="1"/>
  <c r="AA601" i="1"/>
  <c r="AB633" i="1"/>
  <c r="AA633" i="1"/>
  <c r="AB665" i="1"/>
  <c r="AA665" i="1"/>
  <c r="AB697" i="1"/>
  <c r="AA697" i="1"/>
  <c r="AB729" i="1"/>
  <c r="AA729" i="1"/>
  <c r="AB761" i="1"/>
  <c r="AA761" i="1"/>
  <c r="AB793" i="1"/>
  <c r="AA793" i="1"/>
  <c r="AB825" i="1"/>
  <c r="AA825" i="1"/>
  <c r="AB857" i="1"/>
  <c r="AA857" i="1"/>
  <c r="AB889" i="1"/>
  <c r="AA889" i="1"/>
  <c r="AB143" i="1"/>
  <c r="AA143" i="1"/>
  <c r="AB303" i="1"/>
  <c r="AA303" i="1"/>
  <c r="AB495" i="1"/>
  <c r="AA495" i="1"/>
  <c r="AB130" i="1"/>
  <c r="AA130" i="1"/>
  <c r="AB4" i="1"/>
  <c r="AA4" i="1"/>
  <c r="AB631" i="1"/>
  <c r="AA631" i="1"/>
  <c r="AB306" i="1"/>
  <c r="AA306" i="1"/>
  <c r="AB874" i="1"/>
  <c r="AA874" i="1"/>
  <c r="AB738" i="1"/>
  <c r="AA738" i="1"/>
  <c r="AB649" i="1"/>
  <c r="AA649" i="1"/>
  <c r="AB10" i="1"/>
  <c r="AA10" i="1"/>
  <c r="AB42" i="1"/>
  <c r="AA42" i="1"/>
  <c r="AB202" i="1"/>
  <c r="AA202" i="1"/>
  <c r="AB8" i="1"/>
  <c r="AA8" i="1"/>
  <c r="AB72" i="1"/>
  <c r="AA72" i="1"/>
  <c r="AB136" i="1"/>
  <c r="AA136" i="1"/>
  <c r="AB200" i="1"/>
  <c r="AA200" i="1"/>
  <c r="AB296" i="1"/>
  <c r="AA296" i="1"/>
  <c r="AB360" i="1"/>
  <c r="AA360" i="1"/>
  <c r="AB424" i="1"/>
  <c r="AA424" i="1"/>
  <c r="AB488" i="1"/>
  <c r="AA488" i="1"/>
  <c r="AB520" i="1"/>
  <c r="AA520" i="1"/>
  <c r="AB316" i="1"/>
  <c r="AA316" i="1"/>
  <c r="AB396" i="1"/>
  <c r="AA396" i="1"/>
  <c r="AB476" i="1"/>
  <c r="AA476" i="1"/>
  <c r="AB572" i="1"/>
  <c r="AA572" i="1"/>
  <c r="AB652" i="1"/>
  <c r="AA652" i="1"/>
  <c r="AB716" i="1"/>
  <c r="AA716" i="1"/>
  <c r="AB780" i="1"/>
  <c r="AA780" i="1"/>
  <c r="AB844" i="1"/>
  <c r="AA844" i="1"/>
  <c r="AB908" i="1"/>
  <c r="AA908" i="1"/>
  <c r="AB158" i="1"/>
  <c r="AA158" i="1"/>
  <c r="AB270" i="1"/>
  <c r="AA270" i="1"/>
  <c r="AB422" i="1"/>
  <c r="AA422" i="1"/>
  <c r="AB590" i="1"/>
  <c r="AA590" i="1"/>
  <c r="AB670" i="1"/>
  <c r="AA670" i="1"/>
  <c r="AB635" i="1"/>
  <c r="AA635" i="1"/>
  <c r="AB45" i="1"/>
  <c r="AA45" i="1"/>
  <c r="AB125" i="1"/>
  <c r="AA125" i="1"/>
  <c r="AB173" i="1"/>
  <c r="AA173" i="1"/>
  <c r="AB253" i="1"/>
  <c r="AA253" i="1"/>
  <c r="AB301" i="1"/>
  <c r="AA301" i="1"/>
  <c r="AB381" i="1"/>
  <c r="AA381" i="1"/>
  <c r="AB429" i="1"/>
  <c r="AA429" i="1"/>
  <c r="AB509" i="1"/>
  <c r="AA509" i="1"/>
  <c r="AB557" i="1"/>
  <c r="AA557" i="1"/>
  <c r="AB637" i="1"/>
  <c r="AA637" i="1"/>
  <c r="AB717" i="1"/>
  <c r="AA717" i="1"/>
  <c r="AB749" i="1"/>
  <c r="AA749" i="1"/>
  <c r="AB813" i="1"/>
  <c r="AA813" i="1"/>
  <c r="AB845" i="1"/>
  <c r="AA845" i="1"/>
  <c r="AB909" i="1"/>
  <c r="AA909" i="1"/>
  <c r="AB238" i="1"/>
  <c r="AA238" i="1"/>
  <c r="AB350" i="1"/>
  <c r="AA350" i="1"/>
  <c r="AB526" i="1"/>
  <c r="AA526" i="1"/>
  <c r="AB614" i="1"/>
  <c r="AA614" i="1"/>
  <c r="AB51" i="1"/>
  <c r="AA51" i="1"/>
  <c r="AB243" i="1"/>
  <c r="AA243" i="1"/>
  <c r="AB427" i="1"/>
  <c r="AA427" i="1"/>
  <c r="AB78" i="1"/>
  <c r="AA78" i="1"/>
  <c r="AB3" i="1"/>
  <c r="AA3" i="1"/>
  <c r="AB203" i="1"/>
  <c r="AA203" i="1"/>
  <c r="AB419" i="1"/>
  <c r="AA419" i="1"/>
  <c r="AB587" i="1"/>
  <c r="AA587" i="1"/>
  <c r="AB75" i="1"/>
  <c r="AA75" i="1"/>
  <c r="AB307" i="1"/>
  <c r="AA307" i="1"/>
  <c r="AB483" i="1"/>
  <c r="AA483" i="1"/>
  <c r="AB643" i="1"/>
  <c r="AA643" i="1"/>
  <c r="AB576" i="1"/>
  <c r="AA576" i="1"/>
  <c r="AB608" i="1"/>
  <c r="AA608" i="1"/>
  <c r="AB640" i="1"/>
  <c r="AA640" i="1"/>
  <c r="AB672" i="1"/>
  <c r="AA672" i="1"/>
  <c r="AB704" i="1"/>
  <c r="AA704" i="1"/>
  <c r="AB736" i="1"/>
  <c r="AA736" i="1"/>
  <c r="AB768" i="1"/>
  <c r="AA768" i="1"/>
  <c r="AB800" i="1"/>
  <c r="AA800" i="1"/>
  <c r="AB832" i="1"/>
  <c r="AA832" i="1"/>
  <c r="AB864" i="1"/>
  <c r="AA864" i="1"/>
  <c r="AB896" i="1"/>
  <c r="AA896" i="1"/>
  <c r="AB16" i="1"/>
  <c r="AA16" i="1"/>
  <c r="AB48" i="1"/>
  <c r="AA48" i="1"/>
  <c r="AB80" i="1"/>
  <c r="AA80" i="1"/>
  <c r="AB112" i="1"/>
  <c r="AA112" i="1"/>
  <c r="AB144" i="1"/>
  <c r="AA144" i="1"/>
  <c r="AB176" i="1"/>
  <c r="AA176" i="1"/>
  <c r="AB208" i="1"/>
  <c r="AA208" i="1"/>
  <c r="AB240" i="1"/>
  <c r="AA240" i="1"/>
  <c r="AB272" i="1"/>
  <c r="AA272" i="1"/>
  <c r="AB304" i="1"/>
  <c r="AA304" i="1"/>
  <c r="AB336" i="1"/>
  <c r="AA336" i="1"/>
  <c r="AB368" i="1"/>
  <c r="AA368" i="1"/>
  <c r="AB400" i="1"/>
  <c r="AA400" i="1"/>
  <c r="AB432" i="1"/>
  <c r="AA432" i="1"/>
  <c r="AB464" i="1"/>
  <c r="AA464" i="1"/>
  <c r="AB496" i="1"/>
  <c r="AA496" i="1"/>
  <c r="AB528" i="1"/>
  <c r="AA528" i="1"/>
  <c r="AB560" i="1"/>
  <c r="AA560" i="1"/>
  <c r="AB276" i="1"/>
  <c r="AA276" i="1"/>
  <c r="AB324" i="1"/>
  <c r="AA324" i="1"/>
  <c r="AB356" i="1"/>
  <c r="AA356" i="1"/>
  <c r="AB404" i="1"/>
  <c r="AA404" i="1"/>
  <c r="AB452" i="1"/>
  <c r="AA452" i="1"/>
  <c r="AB484" i="1"/>
  <c r="AA484" i="1"/>
  <c r="AB532" i="1"/>
  <c r="AA532" i="1"/>
  <c r="AB580" i="1"/>
  <c r="AA580" i="1"/>
  <c r="AB612" i="1"/>
  <c r="AA612" i="1"/>
  <c r="AB660" i="1"/>
  <c r="AA660" i="1"/>
  <c r="AB692" i="1"/>
  <c r="AA692" i="1"/>
  <c r="AB724" i="1"/>
  <c r="AA724" i="1"/>
  <c r="AB756" i="1"/>
  <c r="AA756" i="1"/>
  <c r="AB788" i="1"/>
  <c r="AA788" i="1"/>
  <c r="AB820" i="1"/>
  <c r="AA820" i="1"/>
  <c r="AB852" i="1"/>
  <c r="AA852" i="1"/>
  <c r="AB884" i="1"/>
  <c r="AA884" i="1"/>
  <c r="AB14" i="1"/>
  <c r="AA14" i="1"/>
  <c r="AB110" i="1"/>
  <c r="AA110" i="1"/>
  <c r="AB166" i="1"/>
  <c r="AA166" i="1"/>
  <c r="AB222" i="1"/>
  <c r="AA222" i="1"/>
  <c r="AB278" i="1"/>
  <c r="AA278" i="1"/>
  <c r="AB358" i="1"/>
  <c r="AA358" i="1"/>
  <c r="AB438" i="1"/>
  <c r="AA438" i="1"/>
  <c r="AB534" i="1"/>
  <c r="AA534" i="1"/>
  <c r="AB606" i="1"/>
  <c r="AA606" i="1"/>
  <c r="AB43" i="1"/>
  <c r="AA43" i="1"/>
  <c r="AB267" i="1"/>
  <c r="AA267" i="1"/>
  <c r="AB53" i="1"/>
  <c r="AA53" i="1"/>
  <c r="AB101" i="1"/>
  <c r="AA101" i="1"/>
  <c r="AB133" i="1"/>
  <c r="AA133" i="1"/>
  <c r="AB181" i="1"/>
  <c r="AA181" i="1"/>
  <c r="AB229" i="1"/>
  <c r="AA229" i="1"/>
  <c r="AB261" i="1"/>
  <c r="AA261" i="1"/>
  <c r="AB309" i="1"/>
  <c r="AA309" i="1"/>
  <c r="AB357" i="1"/>
  <c r="AA357" i="1"/>
  <c r="AB389" i="1"/>
  <c r="AA389" i="1"/>
  <c r="AB437" i="1"/>
  <c r="AA437" i="1"/>
  <c r="AB485" i="1"/>
  <c r="AA485" i="1"/>
  <c r="AB517" i="1"/>
  <c r="AA517" i="1"/>
  <c r="AB565" i="1"/>
  <c r="AA565" i="1"/>
  <c r="AB613" i="1"/>
  <c r="AA613" i="1"/>
  <c r="AB645" i="1"/>
  <c r="AA645" i="1"/>
  <c r="AB693" i="1"/>
  <c r="AA693" i="1"/>
  <c r="AB725" i="1"/>
  <c r="AA725" i="1"/>
  <c r="AB757" i="1"/>
  <c r="AA757" i="1"/>
  <c r="AB789" i="1"/>
  <c r="AA789" i="1"/>
  <c r="AB821" i="1"/>
  <c r="AA821" i="1"/>
  <c r="AB853" i="1"/>
  <c r="AA853" i="1"/>
  <c r="AB885" i="1"/>
  <c r="AA885" i="1"/>
  <c r="AB22" i="1"/>
  <c r="AA22" i="1"/>
  <c r="AB286" i="1"/>
  <c r="AA286" i="1"/>
  <c r="AB366" i="1"/>
  <c r="AA366" i="1"/>
  <c r="AB462" i="1"/>
  <c r="AA462" i="1"/>
  <c r="AB542" i="1"/>
  <c r="AA542" i="1"/>
  <c r="AB630" i="1"/>
  <c r="AA630" i="1"/>
  <c r="AB107" i="1"/>
  <c r="AA107" i="1"/>
  <c r="AB291" i="1"/>
  <c r="AA291" i="1"/>
  <c r="AB491" i="1"/>
  <c r="AA491" i="1"/>
  <c r="AB675" i="1"/>
  <c r="AA675" i="1"/>
  <c r="AB6" i="1"/>
  <c r="AA6" i="1"/>
  <c r="AB86" i="1"/>
  <c r="AA86" i="1"/>
  <c r="AB59" i="1"/>
  <c r="AA59" i="1"/>
  <c r="AB259" i="1"/>
  <c r="AA259" i="1"/>
  <c r="AB443" i="1"/>
  <c r="AA443" i="1"/>
  <c r="AB659" i="1"/>
  <c r="AA659" i="1"/>
  <c r="AB147" i="1"/>
  <c r="AA147" i="1"/>
  <c r="AB363" i="1"/>
  <c r="AA363" i="1"/>
  <c r="AB515" i="1"/>
  <c r="AA515" i="1"/>
  <c r="AB584" i="1"/>
  <c r="AA584" i="1"/>
  <c r="AB616" i="1"/>
  <c r="AA616" i="1"/>
  <c r="AB648" i="1"/>
  <c r="AA648" i="1"/>
  <c r="AB680" i="1"/>
  <c r="AA680" i="1"/>
  <c r="AB712" i="1"/>
  <c r="AA712" i="1"/>
  <c r="AB744" i="1"/>
  <c r="AA744" i="1"/>
  <c r="AB776" i="1"/>
  <c r="AA776" i="1"/>
  <c r="AB808" i="1"/>
  <c r="AA808" i="1"/>
  <c r="AB840" i="1"/>
  <c r="AA840" i="1"/>
  <c r="AB872" i="1"/>
  <c r="AA872" i="1"/>
  <c r="AB904" i="1"/>
  <c r="AA904" i="1"/>
  <c r="AB338" i="1"/>
  <c r="AA338" i="1"/>
  <c r="AB442" i="1"/>
  <c r="AA442" i="1"/>
  <c r="AB538" i="1"/>
  <c r="AA538" i="1"/>
  <c r="AB642" i="1"/>
  <c r="AA642" i="1"/>
  <c r="AB746" i="1"/>
  <c r="AA746" i="1"/>
  <c r="AB858" i="1"/>
  <c r="AA858" i="1"/>
  <c r="AB67" i="1"/>
  <c r="AA67" i="1"/>
  <c r="AB275" i="1"/>
  <c r="AA275" i="1"/>
  <c r="AB507" i="1"/>
  <c r="AA507" i="1"/>
  <c r="AB11" i="1"/>
  <c r="AA11" i="1"/>
  <c r="AB379" i="1"/>
  <c r="AA379" i="1"/>
  <c r="AB111" i="1"/>
  <c r="AA111" i="1"/>
  <c r="AB399" i="1"/>
  <c r="AA399" i="1"/>
  <c r="AB34" i="1"/>
  <c r="AA34" i="1"/>
  <c r="AB599" i="1"/>
  <c r="AA599" i="1"/>
  <c r="AB823" i="1"/>
  <c r="AA823" i="1"/>
  <c r="AB402" i="1"/>
  <c r="AA402" i="1"/>
  <c r="AB546" i="1"/>
  <c r="AA546" i="1"/>
  <c r="AB667" i="1"/>
  <c r="AA667" i="1"/>
  <c r="AB681" i="1"/>
  <c r="AA681" i="1"/>
  <c r="AB23" i="1"/>
  <c r="AA23" i="1"/>
  <c r="AB138" i="1"/>
  <c r="AA138" i="1"/>
  <c r="AB234" i="1"/>
  <c r="AA234" i="1"/>
  <c r="AB7" i="1"/>
  <c r="AA7" i="1"/>
  <c r="AB71" i="1"/>
  <c r="AA71" i="1"/>
  <c r="AB135" i="1"/>
  <c r="AA135" i="1"/>
  <c r="AB231" i="1"/>
  <c r="AA231" i="1"/>
  <c r="AB295" i="1"/>
  <c r="AA295" i="1"/>
  <c r="AB391" i="1"/>
  <c r="AA391" i="1"/>
  <c r="AB551" i="1"/>
  <c r="AA551" i="1"/>
  <c r="AB90" i="1"/>
  <c r="AA90" i="1"/>
  <c r="AB186" i="1"/>
  <c r="AA186" i="1"/>
  <c r="AB591" i="1"/>
  <c r="AA591" i="1"/>
  <c r="AB623" i="1"/>
  <c r="AA623" i="1"/>
  <c r="AB655" i="1"/>
  <c r="AA655" i="1"/>
  <c r="AB687" i="1"/>
  <c r="AA687" i="1"/>
  <c r="AB719" i="1"/>
  <c r="AA719" i="1"/>
  <c r="AB751" i="1"/>
  <c r="AA751" i="1"/>
  <c r="AB783" i="1"/>
  <c r="AA783" i="1"/>
  <c r="AB815" i="1"/>
  <c r="AA815" i="1"/>
  <c r="AB847" i="1"/>
  <c r="AA847" i="1"/>
  <c r="AB879" i="1"/>
  <c r="AA879" i="1"/>
  <c r="AB911" i="1"/>
  <c r="AA911" i="1"/>
  <c r="AB282" i="1"/>
  <c r="AA282" i="1"/>
  <c r="AB378" i="1"/>
  <c r="AA378" i="1"/>
  <c r="AB474" i="1"/>
  <c r="AA474" i="1"/>
  <c r="AB570" i="1"/>
  <c r="AA570" i="1"/>
  <c r="AB666" i="1"/>
  <c r="AA666" i="1"/>
  <c r="AB754" i="1"/>
  <c r="AA754" i="1"/>
  <c r="AB850" i="1"/>
  <c r="AA850" i="1"/>
  <c r="AB274" i="1"/>
  <c r="AA274" i="1"/>
  <c r="AB346" i="1"/>
  <c r="AA346" i="1"/>
  <c r="AB434" i="1"/>
  <c r="AA434" i="1"/>
  <c r="AB522" i="1"/>
  <c r="AA522" i="1"/>
  <c r="AB626" i="1"/>
  <c r="AA626" i="1"/>
  <c r="AB714" i="1"/>
  <c r="AA714" i="1"/>
  <c r="AB802" i="1"/>
  <c r="AA802" i="1"/>
  <c r="AB890" i="1"/>
  <c r="AA890" i="1"/>
  <c r="AB35" i="1"/>
  <c r="AA35" i="1"/>
  <c r="AB227" i="1"/>
  <c r="AA227" i="1"/>
  <c r="AB435" i="1"/>
  <c r="AA435" i="1"/>
  <c r="AB619" i="1"/>
  <c r="AA619" i="1"/>
  <c r="AB33" i="1"/>
  <c r="AA33" i="1"/>
  <c r="AB65" i="1"/>
  <c r="AA65" i="1"/>
  <c r="AB97" i="1"/>
  <c r="AA97" i="1"/>
  <c r="AB129" i="1"/>
  <c r="AA129" i="1"/>
  <c r="AB161" i="1"/>
  <c r="AA161" i="1"/>
  <c r="AB193" i="1"/>
  <c r="AA193" i="1"/>
  <c r="AB225" i="1"/>
  <c r="AA225" i="1"/>
  <c r="AB257" i="1"/>
  <c r="AA257" i="1"/>
  <c r="AB289" i="1"/>
  <c r="AA289" i="1"/>
  <c r="AB321" i="1"/>
  <c r="AA321" i="1"/>
  <c r="AB353" i="1"/>
  <c r="AA353" i="1"/>
  <c r="AB385" i="1"/>
  <c r="AA385" i="1"/>
  <c r="AB417" i="1"/>
  <c r="AA417" i="1"/>
  <c r="AB449" i="1"/>
  <c r="AA449" i="1"/>
  <c r="AB481" i="1"/>
  <c r="AA481" i="1"/>
  <c r="AB513" i="1"/>
  <c r="AA513" i="1"/>
  <c r="AB545" i="1"/>
  <c r="AA545" i="1"/>
  <c r="AB577" i="1"/>
  <c r="AA577" i="1"/>
  <c r="AB609" i="1"/>
  <c r="AA609" i="1"/>
  <c r="AB641" i="1"/>
  <c r="AA641" i="1"/>
  <c r="AB673" i="1"/>
  <c r="AA673" i="1"/>
  <c r="AB705" i="1"/>
  <c r="AA705" i="1"/>
  <c r="AB737" i="1"/>
  <c r="AA737" i="1"/>
  <c r="AB769" i="1"/>
  <c r="AA769" i="1"/>
  <c r="AB801" i="1"/>
  <c r="AA801" i="1"/>
  <c r="AB833" i="1"/>
  <c r="AA833" i="1"/>
  <c r="AB865" i="1"/>
  <c r="AA865" i="1"/>
  <c r="AB897" i="1"/>
  <c r="AA897" i="1"/>
  <c r="AB175" i="1"/>
  <c r="AA175" i="1"/>
  <c r="AB367" i="1"/>
  <c r="AA367" i="1"/>
  <c r="AB162" i="1"/>
  <c r="AA162" i="1"/>
  <c r="AB695" i="1"/>
  <c r="AA695" i="1"/>
  <c r="AB855" i="1"/>
  <c r="AA855" i="1"/>
  <c r="AB602" i="1"/>
  <c r="AA602" i="1"/>
  <c r="AB906" i="1"/>
  <c r="AA906" i="1"/>
  <c r="AB873" i="1"/>
  <c r="AA873" i="1"/>
  <c r="AB87" i="1"/>
  <c r="AA87" i="1"/>
  <c r="AB535" i="1"/>
  <c r="AA535" i="1"/>
  <c r="AB567" i="1"/>
  <c r="AA567" i="1"/>
  <c r="AB74" i="1"/>
  <c r="AA74" i="1"/>
  <c r="AB39" i="1"/>
  <c r="AA39" i="1"/>
  <c r="AB103" i="1"/>
  <c r="AA103" i="1"/>
  <c r="AB167" i="1"/>
  <c r="AA167" i="1"/>
  <c r="AB199" i="1"/>
  <c r="AA199" i="1"/>
  <c r="AB263" i="1"/>
  <c r="AA263" i="1"/>
  <c r="AB327" i="1"/>
  <c r="AA327" i="1"/>
  <c r="AB359" i="1"/>
  <c r="AA359" i="1"/>
  <c r="AB423" i="1"/>
  <c r="AA423" i="1"/>
  <c r="AB455" i="1"/>
  <c r="AA455" i="1"/>
  <c r="AB487" i="1"/>
  <c r="AA487" i="1"/>
  <c r="AB519" i="1"/>
  <c r="AA519" i="1"/>
  <c r="AB26" i="1"/>
  <c r="AA26" i="1"/>
  <c r="AB58" i="1"/>
  <c r="AA58" i="1"/>
  <c r="AB122" i="1"/>
  <c r="AA122" i="1"/>
  <c r="AB154" i="1"/>
  <c r="AA154" i="1"/>
  <c r="AB218" i="1"/>
  <c r="AA218" i="1"/>
  <c r="AB5" i="1"/>
  <c r="AA5" i="1"/>
  <c r="AB24" i="1"/>
  <c r="AA24" i="1"/>
  <c r="AB56" i="1"/>
  <c r="AA56" i="1"/>
  <c r="AB88" i="1"/>
  <c r="AA88" i="1"/>
  <c r="AB120" i="1"/>
  <c r="AA120" i="1"/>
  <c r="AB152" i="1"/>
  <c r="AA152" i="1"/>
  <c r="AB184" i="1"/>
  <c r="AA184" i="1"/>
  <c r="AB216" i="1"/>
  <c r="AA216" i="1"/>
  <c r="AB248" i="1"/>
  <c r="AA248" i="1"/>
  <c r="AB280" i="1"/>
  <c r="AA280" i="1"/>
  <c r="AB312" i="1"/>
  <c r="AA312" i="1"/>
  <c r="AB344" i="1"/>
  <c r="AA344" i="1"/>
  <c r="AB376" i="1"/>
  <c r="AA376" i="1"/>
  <c r="AB408" i="1"/>
  <c r="AA408" i="1"/>
  <c r="AB440" i="1"/>
  <c r="AA440" i="1"/>
  <c r="AB472" i="1"/>
  <c r="AA472" i="1"/>
  <c r="AB504" i="1"/>
  <c r="AA504" i="1"/>
  <c r="AB536" i="1"/>
  <c r="AA536" i="1"/>
  <c r="AB568" i="1"/>
  <c r="AA568" i="1"/>
  <c r="AB284" i="1"/>
  <c r="AA284" i="1"/>
  <c r="AB332" i="1"/>
  <c r="AA332" i="1"/>
  <c r="AB380" i="1"/>
  <c r="AA380" i="1"/>
  <c r="AB412" i="1"/>
  <c r="AA412" i="1"/>
  <c r="AB460" i="1"/>
  <c r="AA460" i="1"/>
  <c r="AB508" i="1"/>
  <c r="AA508" i="1"/>
  <c r="AB540" i="1"/>
  <c r="AA540" i="1"/>
  <c r="AB588" i="1"/>
  <c r="AA588" i="1"/>
  <c r="AB636" i="1"/>
  <c r="AA636" i="1"/>
  <c r="AB668" i="1"/>
  <c r="AA668" i="1"/>
  <c r="AB700" i="1"/>
  <c r="AA700" i="1"/>
  <c r="AB732" i="1"/>
  <c r="AA732" i="1"/>
  <c r="AB764" i="1"/>
  <c r="AA764" i="1"/>
  <c r="AB796" i="1"/>
  <c r="AA796" i="1"/>
  <c r="AB828" i="1"/>
  <c r="AA828" i="1"/>
  <c r="AB860" i="1"/>
  <c r="AA860" i="1"/>
  <c r="AB892" i="1"/>
  <c r="AA892" i="1"/>
  <c r="AB30" i="1"/>
  <c r="AA30" i="1"/>
  <c r="AB142" i="1"/>
  <c r="AA142" i="1"/>
  <c r="AB174" i="1"/>
  <c r="AA174" i="1"/>
  <c r="AB230" i="1"/>
  <c r="AA230" i="1"/>
  <c r="AB294" i="1"/>
  <c r="AA294" i="1"/>
  <c r="AB374" i="1"/>
  <c r="AA374" i="1"/>
  <c r="AB470" i="1"/>
  <c r="AA470" i="1"/>
  <c r="AB550" i="1"/>
  <c r="AA550" i="1"/>
  <c r="AB622" i="1"/>
  <c r="AA622" i="1"/>
  <c r="AB91" i="1"/>
  <c r="AA91" i="1"/>
  <c r="AB323" i="1"/>
  <c r="AA323" i="1"/>
  <c r="AB61" i="1"/>
  <c r="AA61" i="1"/>
  <c r="AB109" i="1"/>
  <c r="AA109" i="1"/>
  <c r="AB141" i="1"/>
  <c r="AA141" i="1"/>
  <c r="AB189" i="1"/>
  <c r="AA189" i="1"/>
  <c r="AB237" i="1"/>
  <c r="AA237" i="1"/>
  <c r="AB269" i="1"/>
  <c r="AA269" i="1"/>
  <c r="AB317" i="1"/>
  <c r="AA317" i="1"/>
  <c r="AB365" i="1"/>
  <c r="AA365" i="1"/>
  <c r="AB397" i="1"/>
  <c r="AA397" i="1"/>
  <c r="AB445" i="1"/>
  <c r="AA445" i="1"/>
  <c r="AB493" i="1"/>
  <c r="AA493" i="1"/>
  <c r="AB525" i="1"/>
  <c r="AA525" i="1"/>
  <c r="AB573" i="1"/>
  <c r="AA573" i="1"/>
  <c r="AB621" i="1"/>
  <c r="AA621" i="1"/>
  <c r="AB653" i="1"/>
  <c r="AA653" i="1"/>
  <c r="AB701" i="1"/>
  <c r="AA701" i="1"/>
  <c r="AB733" i="1"/>
  <c r="AA733" i="1"/>
  <c r="AB765" i="1"/>
  <c r="AA765" i="1"/>
  <c r="AB797" i="1"/>
  <c r="AA797" i="1"/>
  <c r="AB829" i="1"/>
  <c r="AA829" i="1"/>
  <c r="AB861" i="1"/>
  <c r="AA861" i="1"/>
  <c r="AB893" i="1"/>
  <c r="AA893" i="1"/>
  <c r="AB46" i="1"/>
  <c r="AA46" i="1"/>
  <c r="AB302" i="1"/>
  <c r="AA302" i="1"/>
  <c r="AB398" i="1"/>
  <c r="AA398" i="1"/>
  <c r="AB478" i="1"/>
  <c r="AA478" i="1"/>
  <c r="AB558" i="1"/>
  <c r="AA558" i="1"/>
  <c r="AB662" i="1"/>
  <c r="AA662" i="1"/>
  <c r="AB171" i="1"/>
  <c r="AA171" i="1"/>
  <c r="AB331" i="1"/>
  <c r="AA331" i="1"/>
  <c r="AB539" i="1"/>
  <c r="AA539" i="1"/>
  <c r="AB38" i="1"/>
  <c r="AA38" i="1"/>
  <c r="AB102" i="1"/>
  <c r="AA102" i="1"/>
  <c r="AB99" i="1"/>
  <c r="AA99" i="1"/>
  <c r="AB315" i="1"/>
  <c r="AA315" i="1"/>
  <c r="AB499" i="1"/>
  <c r="AA499" i="1"/>
  <c r="AB187" i="1"/>
  <c r="AA187" i="1"/>
  <c r="AB411" i="1"/>
  <c r="AA411" i="1"/>
  <c r="AB555" i="1"/>
  <c r="AA555" i="1"/>
  <c r="AB592" i="1"/>
  <c r="AA592" i="1"/>
  <c r="AB624" i="1"/>
  <c r="AA624" i="1"/>
  <c r="AB656" i="1"/>
  <c r="AA656" i="1"/>
  <c r="AB688" i="1"/>
  <c r="AA688" i="1"/>
  <c r="AB720" i="1"/>
  <c r="AA720" i="1"/>
  <c r="AB752" i="1"/>
  <c r="AA752" i="1"/>
  <c r="AB784" i="1"/>
  <c r="AA784" i="1"/>
  <c r="AB816" i="1"/>
  <c r="AA816" i="1"/>
  <c r="AB848" i="1"/>
  <c r="AA848" i="1"/>
  <c r="AB880" i="1"/>
  <c r="AA880" i="1"/>
  <c r="AB912" i="1"/>
  <c r="AA912" i="1"/>
  <c r="AB362" i="1"/>
  <c r="AA362" i="1"/>
  <c r="AB466" i="1"/>
  <c r="AA466" i="1"/>
  <c r="AB562" i="1"/>
  <c r="AA562" i="1"/>
  <c r="AB674" i="1"/>
  <c r="AA674" i="1"/>
  <c r="AB770" i="1"/>
  <c r="AA770" i="1"/>
  <c r="AB882" i="1"/>
  <c r="AA882" i="1"/>
  <c r="AB115" i="1"/>
  <c r="AA115" i="1"/>
  <c r="AB339" i="1"/>
  <c r="AA339" i="1"/>
  <c r="AB563" i="1"/>
  <c r="AA563" i="1"/>
  <c r="AB123" i="1"/>
  <c r="AA123" i="1"/>
  <c r="AB467" i="1"/>
  <c r="AA467" i="1"/>
</calcChain>
</file>

<file path=xl/sharedStrings.xml><?xml version="1.0" encoding="utf-8"?>
<sst xmlns="http://schemas.openxmlformats.org/spreadsheetml/2006/main" count="13292" uniqueCount="2837">
  <si>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</si>
  <si>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</si>
  <si>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</si>
  <si>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</si>
  <si>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</si>
  <si>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</si>
  <si>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</si>
  <si>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</si>
  <si>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</si>
  <si>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</si>
  <si>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</si>
  <si>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</si>
  <si>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</si>
  <si>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</si>
  <si>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</si>
  <si>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</si>
  <si>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</si>
  <si>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</si>
  <si>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</si>
  <si>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</si>
  <si>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</si>
  <si>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</si>
  <si>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</si>
  <si>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</si>
  <si>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</si>
  <si>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</si>
  <si>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</si>
  <si>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</si>
  <si>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</si>
  <si>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</si>
  <si>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</si>
  <si>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</si>
  <si>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</si>
  <si>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</si>
  <si>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</si>
  <si>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</si>
  <si>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</si>
  <si>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</si>
  <si>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</si>
  <si>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</si>
  <si>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</si>
  <si>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</si>
  <si>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</si>
  <si>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</si>
  <si>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</si>
  <si>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</si>
  <si>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</si>
  <si>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</si>
  <si>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</si>
  <si>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</si>
  <si>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</si>
  <si>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</si>
  <si>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</si>
  <si>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</si>
  <si>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</si>
  <si>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</si>
  <si>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</si>
  <si>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</si>
  <si>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</si>
  <si>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</si>
  <si>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</si>
  <si>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</si>
  <si>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</si>
  <si>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</si>
  <si>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</si>
  <si>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</si>
  <si>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</si>
  <si>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</si>
  <si>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</si>
  <si>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</si>
  <si>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</si>
  <si>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</si>
  <si>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</si>
  <si>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</si>
  <si>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</si>
  <si>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</si>
  <si>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</si>
  <si>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</si>
  <si>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</si>
  <si>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</si>
  <si>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</si>
  <si>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</si>
  <si>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</si>
  <si>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</si>
  <si>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</si>
  <si>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</si>
  <si>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</si>
  <si>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</si>
  <si>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</si>
  <si>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</si>
  <si>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</si>
  <si>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</si>
  <si>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</si>
  <si>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</si>
  <si>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</si>
  <si>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</si>
  <si>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</si>
  <si>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</si>
  <si>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</si>
  <si>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</si>
  <si>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</si>
  <si>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</si>
  <si>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</si>
  <si>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</si>
  <si>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</si>
  <si>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</si>
  <si>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</si>
  <si>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</si>
  <si>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</si>
  <si>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</si>
  <si>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</si>
  <si>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</si>
  <si>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</si>
  <si>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</si>
  <si>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</si>
  <si>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</si>
  <si>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</si>
  <si>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</si>
  <si>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</si>
  <si>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</si>
  <si>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</si>
  <si>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</si>
  <si>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</si>
  <si>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</si>
  <si>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</si>
  <si>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</si>
  <si>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</si>
  <si>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</si>
  <si>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</si>
  <si>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</si>
  <si>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</si>
  <si>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</si>
  <si>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</si>
  <si>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</si>
  <si>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</si>
  <si>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</si>
  <si>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</si>
  <si>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</si>
  <si>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</si>
  <si>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</si>
  <si>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</si>
  <si>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</si>
  <si>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</si>
  <si>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</si>
  <si>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</si>
  <si>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</si>
  <si>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</si>
  <si>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</si>
  <si>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</si>
  <si>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</si>
  <si>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</si>
  <si>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</si>
  <si>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</si>
  <si>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</si>
  <si>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</si>
  <si>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</si>
  <si>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</si>
  <si>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</si>
  <si>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</si>
  <si>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</si>
  <si>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</si>
  <si>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</si>
  <si>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</si>
  <si>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</si>
  <si>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</si>
  <si>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</si>
  <si>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</si>
  <si>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</si>
  <si>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</si>
  <si>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</si>
  <si>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</si>
  <si>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</si>
  <si>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</si>
  <si>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</si>
  <si>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</si>
  <si>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</si>
  <si>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</si>
  <si>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</si>
  <si>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</si>
  <si>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</si>
  <si>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</si>
  <si>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</si>
  <si>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</si>
  <si>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</si>
  <si>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</si>
  <si>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</si>
  <si>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</si>
  <si>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</si>
  <si>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</si>
  <si>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</si>
  <si>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</si>
  <si>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</si>
  <si>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</si>
  <si>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</si>
  <si>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</si>
  <si>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</si>
  <si>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</si>
  <si>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</si>
  <si>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</si>
  <si>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</si>
  <si>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</si>
  <si>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</si>
  <si>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</si>
  <si>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</si>
  <si>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</si>
  <si>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</si>
  <si>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</si>
  <si>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</si>
  <si>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</si>
  <si>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</si>
  <si>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</si>
  <si>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</si>
  <si>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</si>
  <si>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</si>
  <si>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</si>
  <si>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</si>
  <si>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</si>
  <si>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</si>
  <si>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</si>
  <si>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</si>
  <si>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</si>
  <si>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</si>
  <si>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</si>
  <si>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</si>
  <si>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</si>
  <si>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</si>
  <si>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</si>
  <si>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</si>
  <si>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</si>
  <si>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</si>
  <si>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</si>
  <si>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</si>
  <si>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</si>
  <si>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</si>
  <si>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</si>
  <si>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</si>
  <si>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</si>
  <si>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</si>
  <si>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</si>
  <si>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</si>
  <si>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</si>
  <si>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</si>
  <si>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</si>
  <si>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</si>
  <si>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</si>
  <si>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</si>
  <si>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</si>
  <si>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</si>
  <si>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</si>
  <si>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</si>
  <si>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</si>
  <si>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</si>
  <si>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</si>
  <si>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</si>
  <si>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</si>
  <si>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</si>
  <si>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</si>
  <si>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</si>
  <si>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</si>
  <si>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</si>
  <si>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</si>
  <si>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</si>
  <si>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</si>
  <si>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</si>
  <si>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</si>
  <si>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</si>
  <si>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</si>
  <si>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</si>
  <si>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</si>
  <si>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</si>
  <si>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</si>
  <si>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</si>
  <si>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</si>
  <si>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</si>
  <si>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</si>
  <si>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</si>
  <si>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</si>
  <si>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</si>
  <si>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</si>
  <si>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</si>
  <si>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</si>
  <si>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</si>
  <si>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</si>
  <si>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</si>
  <si>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</si>
  <si>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</si>
  <si>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</si>
  <si>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</si>
  <si>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</si>
  <si>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</si>
  <si>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</si>
  <si>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</si>
  <si>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</si>
  <si>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</si>
  <si>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</si>
  <si>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</si>
  <si>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</si>
  <si>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</si>
  <si>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</si>
  <si>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</si>
  <si>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</si>
  <si>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</si>
  <si>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</si>
  <si>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</si>
  <si>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</si>
  <si>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</si>
  <si>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</si>
  <si>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</si>
  <si>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</si>
  <si>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</si>
  <si>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</si>
  <si>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</si>
  <si>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</si>
  <si>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</si>
  <si>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</si>
  <si>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</si>
  <si>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</si>
  <si>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</si>
  <si>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</si>
  <si>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</si>
  <si>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</si>
  <si>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</si>
  <si>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</si>
  <si>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</si>
  <si>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</si>
  <si>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</si>
  <si>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</si>
  <si>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</si>
  <si>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</si>
  <si>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</si>
  <si>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</si>
  <si>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</si>
  <si>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</si>
  <si>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</si>
  <si>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</si>
  <si>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</si>
  <si>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</si>
  <si>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</si>
  <si>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</si>
  <si>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</si>
  <si>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</si>
  <si>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</si>
  <si>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</si>
  <si>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</si>
  <si>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</si>
  <si>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</si>
  <si>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</si>
  <si>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</si>
  <si>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</si>
  <si>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</si>
  <si>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</si>
  <si>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</si>
  <si>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</si>
  <si>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</si>
  <si>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</si>
  <si>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</si>
  <si>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</si>
  <si>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</si>
  <si>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</si>
  <si>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</si>
  <si>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</si>
  <si>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</si>
  <si>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</si>
  <si>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</si>
  <si>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</si>
  <si>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</si>
  <si>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</si>
  <si>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</si>
  <si>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</si>
  <si>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</si>
  <si>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</si>
  <si>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</si>
  <si>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</si>
  <si>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</si>
  <si>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</si>
  <si>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</si>
  <si>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</si>
  <si>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</si>
  <si>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</si>
  <si>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</si>
  <si>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</si>
  <si>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</si>
  <si>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</si>
  <si>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</si>
  <si>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</si>
  <si>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</si>
  <si>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</si>
  <si>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</si>
  <si>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</si>
  <si>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</si>
  <si>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</si>
  <si>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</si>
  <si>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</si>
  <si>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</si>
  <si>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</si>
  <si>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</si>
  <si>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</si>
  <si>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</si>
  <si>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</si>
  <si>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</si>
  <si>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</si>
  <si>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</si>
  <si>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</si>
  <si>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</si>
  <si>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</si>
  <si>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</si>
  <si>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</si>
  <si>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</si>
  <si>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</si>
  <si>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</si>
  <si>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</si>
  <si>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</si>
  <si>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</si>
  <si>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</si>
  <si>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</si>
  <si>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</si>
  <si>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</si>
  <si>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</si>
  <si>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</si>
  <si>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</si>
  <si>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</si>
  <si>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</si>
  <si>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</si>
  <si>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</si>
  <si>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</si>
  <si>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</si>
  <si>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</si>
  <si>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</si>
  <si>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</si>
  <si>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</si>
  <si>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</si>
  <si>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</si>
  <si>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</si>
  <si>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</si>
  <si>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</si>
  <si>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</si>
  <si>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</si>
  <si>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</si>
  <si>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</si>
  <si>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</si>
  <si>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</si>
  <si>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</si>
  <si>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</si>
  <si>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</si>
  <si>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</si>
  <si>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</si>
  <si>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</si>
  <si>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</si>
  <si>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</si>
  <si>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</si>
  <si>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</si>
  <si>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</si>
  <si>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</si>
  <si>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</si>
  <si>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</si>
  <si>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</si>
  <si>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</si>
  <si>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</si>
  <si>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</si>
  <si>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</si>
  <si>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</si>
  <si>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</si>
  <si>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</si>
  <si>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</si>
  <si>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</si>
  <si>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</si>
  <si>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</si>
  <si>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</si>
  <si>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</si>
  <si>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</si>
  <si>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</si>
  <si>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</si>
  <si>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</si>
  <si>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</si>
  <si>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</si>
  <si>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</si>
  <si>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</si>
  <si>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</si>
  <si>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</si>
  <si>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</si>
  <si>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</si>
  <si>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</si>
  <si>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</si>
  <si>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</si>
  <si>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</si>
  <si>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</si>
  <si>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</si>
  <si>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</si>
  <si>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</si>
  <si>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</si>
  <si>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</si>
  <si>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</si>
  <si>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</si>
  <si>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</si>
  <si>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</si>
  <si>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</si>
  <si>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</si>
  <si>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</si>
  <si>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</si>
  <si>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</si>
  <si>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</si>
  <si>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</si>
  <si>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</si>
  <si>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</si>
  <si>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</si>
  <si>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</si>
  <si>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</si>
  <si>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</si>
  <si>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</si>
  <si>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</si>
  <si>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</si>
  <si>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</si>
  <si>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</si>
  <si>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</si>
  <si>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</si>
  <si>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</si>
  <si>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</si>
  <si>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</si>
  <si>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</si>
  <si>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</si>
  <si>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</si>
  <si>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</si>
  <si>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</si>
  <si>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</si>
  <si>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</si>
  <si>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</si>
  <si>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</si>
  <si>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</si>
  <si>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</si>
  <si>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</si>
  <si>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</si>
  <si>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</si>
  <si>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</si>
  <si>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</si>
  <si>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</si>
  <si>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</si>
  <si>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</si>
  <si>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</si>
  <si>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</si>
  <si>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</si>
  <si>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</si>
  <si>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</si>
  <si>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</si>
  <si>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</si>
  <si>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</si>
  <si>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</si>
  <si>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</si>
  <si>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</si>
  <si>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</si>
  <si>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</si>
  <si>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</si>
  <si>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</si>
  <si>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</si>
  <si>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</si>
  <si>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</si>
  <si>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</si>
  <si>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</si>
  <si>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</si>
  <si>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</si>
  <si>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</si>
  <si>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</si>
  <si>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</si>
  <si>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</si>
  <si>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</si>
  <si>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</si>
  <si>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</si>
  <si>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</si>
  <si>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</si>
  <si>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</si>
  <si>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</si>
  <si>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</si>
  <si>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</si>
  <si>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</si>
  <si>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</si>
  <si>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</si>
  <si>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</si>
  <si>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</si>
  <si>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</si>
  <si>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</si>
  <si>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</si>
  <si>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</si>
  <si>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</si>
  <si>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</si>
  <si>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</si>
  <si>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</si>
  <si>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</si>
  <si>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</si>
  <si>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</si>
  <si>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</si>
  <si>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</si>
  <si>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</si>
  <si>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</si>
  <si>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</si>
  <si>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</si>
  <si>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</si>
  <si>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</si>
  <si>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</si>
  <si>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</si>
  <si>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</si>
  <si>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</si>
  <si>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</si>
  <si>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</si>
  <si>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</si>
  <si>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</si>
  <si>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</si>
  <si>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</si>
  <si>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</si>
  <si>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</si>
  <si>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</si>
  <si>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</si>
  <si>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</si>
  <si>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</si>
  <si>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</si>
  <si>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</si>
  <si>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</si>
  <si>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</si>
  <si>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</si>
  <si>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</si>
  <si>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</si>
  <si>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</si>
  <si>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</si>
  <si>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</si>
  <si>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</si>
  <si>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</si>
  <si>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</si>
  <si>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</si>
  <si>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</si>
  <si>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</si>
  <si>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</si>
  <si>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</si>
  <si>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</si>
  <si>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</si>
  <si>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</si>
  <si>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</si>
  <si>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</si>
  <si>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</si>
  <si>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</si>
  <si>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</si>
  <si>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</si>
  <si>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</si>
  <si>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</si>
  <si>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</si>
  <si>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</si>
  <si>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</si>
  <si>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</si>
  <si>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</si>
  <si>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</si>
  <si>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</si>
  <si>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</si>
  <si>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</si>
  <si>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</si>
  <si>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</si>
  <si>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</si>
  <si>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</si>
  <si>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</si>
  <si>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</si>
  <si>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</si>
  <si>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</si>
  <si>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</si>
  <si>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</si>
  <si>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</si>
  <si>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</si>
  <si>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</si>
  <si>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</si>
  <si>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</si>
  <si>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</si>
  <si>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</si>
  <si>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</si>
  <si>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</si>
  <si>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</si>
  <si>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</si>
  <si>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</si>
  <si>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</si>
  <si>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</si>
  <si>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</si>
  <si>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</si>
  <si>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</si>
  <si>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</si>
  <si>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</si>
  <si>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</si>
  <si>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</si>
  <si>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</si>
  <si>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</si>
  <si>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</si>
  <si>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</si>
  <si>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</si>
  <si>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</si>
  <si>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</si>
  <si>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</si>
  <si>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</si>
  <si>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</si>
  <si>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</si>
  <si>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</si>
  <si>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</si>
  <si>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</si>
  <si>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</si>
  <si>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</si>
  <si>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</si>
  <si>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</si>
  <si>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</si>
  <si>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</si>
  <si>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</si>
  <si>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</si>
  <si>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</si>
  <si>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</si>
  <si>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</si>
  <si>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</si>
  <si>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</si>
  <si>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</si>
  <si>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</si>
  <si>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</si>
  <si>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</si>
  <si>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</si>
  <si>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</si>
  <si>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</si>
  <si>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</si>
  <si>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</si>
  <si>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</si>
  <si>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</si>
  <si>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</si>
  <si>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</si>
  <si>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</si>
  <si>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</si>
  <si>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</si>
  <si>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</si>
  <si>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</si>
  <si>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</si>
  <si>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</si>
  <si>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</si>
  <si>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</si>
  <si>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</si>
  <si>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</si>
  <si>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</si>
  <si>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</si>
  <si>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</si>
  <si>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</si>
  <si>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</si>
  <si>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</si>
  <si>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</si>
  <si>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</si>
  <si>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</si>
  <si>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</si>
  <si>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</si>
  <si>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</si>
  <si>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</si>
  <si>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</si>
  <si>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</si>
  <si>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</si>
  <si>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</si>
  <si>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</si>
  <si>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</si>
  <si>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</si>
  <si>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</si>
  <si>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</si>
  <si>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</si>
  <si>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</si>
  <si>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</si>
  <si>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</si>
  <si>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</si>
  <si>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</si>
  <si>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</si>
  <si>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</si>
  <si>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</si>
  <si>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</si>
  <si>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</si>
  <si>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</si>
  <si>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</si>
  <si>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</si>
  <si>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</si>
  <si>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</si>
  <si>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</si>
  <si>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</si>
  <si>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</si>
  <si>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</si>
  <si>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</si>
  <si>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</si>
  <si>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</si>
  <si>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</si>
  <si>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</si>
  <si>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</si>
  <si>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</si>
  <si>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</si>
  <si>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</si>
  <si>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</si>
  <si>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</si>
  <si>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</si>
  <si>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</si>
  <si>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</si>
  <si>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</si>
  <si>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</si>
  <si>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</si>
  <si>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</si>
  <si>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</si>
  <si>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</si>
  <si>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</si>
  <si>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</si>
  <si>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</si>
  <si>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</si>
  <si>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</si>
  <si>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</si>
  <si>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</si>
  <si>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</si>
  <si>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</si>
  <si>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</si>
  <si>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</si>
  <si>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</si>
  <si>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</si>
  <si>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</si>
  <si>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</si>
  <si>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</si>
  <si>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</si>
  <si>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</si>
  <si>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</si>
  <si>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</si>
  <si>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</si>
  <si>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</si>
  <si>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</si>
  <si>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</si>
  <si>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</si>
  <si>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</si>
  <si>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</si>
  <si>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</si>
  <si>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</si>
  <si>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</si>
  <si>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</si>
  <si>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</si>
  <si>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</si>
  <si>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</si>
  <si>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</si>
  <si>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</si>
  <si>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</si>
  <si>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</si>
  <si>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</si>
  <si>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</si>
  <si>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</si>
  <si>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</si>
  <si>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</si>
  <si>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</si>
  <si>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</si>
  <si>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</si>
  <si>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</si>
  <si>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</si>
  <si>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</si>
  <si>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</si>
  <si>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</si>
  <si>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</si>
  <si>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</si>
  <si>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</si>
  <si>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</si>
  <si>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</si>
  <si>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</si>
  <si>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</si>
  <si>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</si>
  <si>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</si>
  <si>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</si>
  <si>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</si>
  <si>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</si>
  <si>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</si>
  <si>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</si>
  <si>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</si>
  <si>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</si>
  <si>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</si>
  <si>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</si>
  <si>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</si>
  <si>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</si>
  <si>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</si>
  <si>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</si>
  <si>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</si>
  <si>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</si>
  <si>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</si>
  <si>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</si>
  <si>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</si>
  <si>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</si>
  <si>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</si>
  <si>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</si>
  <si>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</si>
  <si>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</si>
  <si>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</si>
  <si>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</si>
  <si>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</si>
  <si>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</si>
  <si>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</si>
  <si>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</si>
  <si>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</si>
  <si>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</si>
  <si>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</si>
  <si>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</si>
  <si>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</si>
  <si>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</si>
  <si>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</si>
  <si>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</si>
  <si>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</si>
  <si>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</si>
  <si>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</si>
  <si>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</si>
  <si>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</si>
  <si>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</si>
  <si>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</si>
  <si>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</si>
  <si>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</si>
  <si>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</si>
  <si>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</si>
  <si>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</si>
  <si>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</si>
  <si>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</si>
  <si>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</si>
  <si>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</si>
  <si>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</si>
  <si>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</si>
  <si>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</si>
  <si>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</si>
  <si>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</si>
  <si>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</si>
  <si>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</si>
  <si>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</si>
  <si>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</si>
  <si>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</si>
  <si>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</si>
  <si>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</si>
  <si>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</si>
  <si>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</si>
  <si>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</si>
  <si>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</si>
  <si>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</si>
  <si>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</si>
  <si>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</si>
  <si>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</si>
  <si>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</si>
  <si>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</si>
  <si>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</si>
  <si>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</si>
  <si>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</si>
  <si>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</si>
  <si>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</si>
  <si>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</si>
  <si>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</si>
  <si>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</si>
  <si>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</si>
  <si>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</si>
  <si>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</si>
  <si>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</si>
  <si>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</si>
  <si>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</si>
  <si>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</si>
  <si>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</si>
  <si>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</si>
  <si>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</si>
  <si>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</si>
  <si>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</si>
  <si>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</si>
  <si>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</si>
  <si>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</si>
  <si>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</si>
  <si>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</si>
  <si>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</si>
  <si>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</si>
  <si>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</si>
  <si>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</si>
  <si>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</si>
  <si>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</si>
  <si>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</si>
  <si>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</si>
  <si>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</si>
  <si>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</si>
  <si>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</si>
  <si>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</si>
  <si>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</si>
  <si>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</si>
  <si>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</si>
  <si>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</si>
  <si>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</si>
  <si>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</si>
  <si>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</si>
  <si>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</si>
  <si>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</si>
  <si>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</si>
  <si>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</si>
  <si>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</si>
  <si>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</si>
  <si>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</si>
  <si>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</si>
  <si>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</si>
  <si>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</si>
  <si>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</si>
  <si>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</si>
  <si>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</si>
  <si>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</si>
  <si>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</si>
  <si>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</si>
  <si>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</si>
  <si>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</si>
  <si>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</si>
  <si>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</si>
  <si>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</si>
  <si>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</si>
  <si>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</si>
  <si>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</si>
  <si>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</si>
  <si>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</si>
  <si>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</si>
  <si>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</si>
  <si>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</si>
  <si>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</si>
  <si>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</si>
  <si>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</si>
  <si>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</si>
  <si>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</si>
  <si>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</si>
  <si>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</si>
  <si>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</si>
  <si>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</si>
  <si>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</si>
  <si>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</si>
  <si>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</si>
  <si>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</si>
  <si>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</si>
  <si>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</si>
  <si>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</si>
  <si>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</si>
  <si>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</si>
  <si>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</si>
  <si>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</si>
  <si>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</si>
  <si>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</si>
  <si>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</si>
  <si>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</si>
  <si>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</si>
  <si>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</si>
  <si>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</si>
  <si>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</si>
  <si>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</si>
  <si>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</si>
  <si>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</si>
  <si>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</si>
  <si>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</si>
  <si>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</si>
  <si>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</si>
  <si>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</si>
  <si>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</si>
  <si>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</si>
  <si>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</si>
  <si>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</si>
  <si>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</si>
  <si>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</si>
  <si>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</si>
  <si>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</si>
  <si>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</si>
  <si>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</si>
  <si>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</si>
  <si>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</si>
  <si>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</si>
  <si>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</si>
  <si>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</si>
  <si>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</si>
  <si>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</si>
  <si>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</si>
  <si>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</si>
  <si>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</si>
  <si>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</si>
  <si>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</si>
  <si>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</si>
  <si>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</si>
  <si>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</si>
  <si>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</si>
  <si>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</si>
  <si>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</si>
  <si>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</si>
  <si>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</si>
  <si>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</si>
  <si>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</si>
  <si>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</si>
  <si>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</si>
  <si>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</si>
  <si>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</si>
  <si>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</si>
  <si>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</si>
  <si>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</si>
  <si>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</si>
  <si>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</si>
  <si>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</si>
  <si>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</si>
  <si>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</si>
  <si>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</si>
  <si>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</si>
  <si>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</si>
  <si>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</si>
  <si>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</si>
  <si>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</si>
  <si>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</si>
  <si>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</si>
  <si>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</si>
  <si>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</si>
  <si>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</si>
  <si>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</si>
  <si>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</si>
  <si>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</si>
  <si>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</si>
  <si>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</si>
  <si>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</si>
  <si>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</si>
  <si>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</si>
  <si>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</si>
  <si>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</si>
  <si>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</si>
  <si>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</si>
  <si>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</si>
  <si>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</si>
  <si>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</si>
  <si>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</si>
  <si>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</si>
  <si>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</si>
  <si>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</si>
  <si>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</si>
  <si>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</si>
  <si>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</si>
  <si>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</si>
  <si>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</si>
  <si>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</si>
  <si>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</si>
  <si>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</si>
  <si>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</si>
  <si>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</si>
  <si>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</si>
  <si>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</si>
  <si>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</si>
  <si>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</si>
  <si>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</si>
  <si>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</si>
  <si>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</si>
  <si>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</si>
  <si>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</si>
  <si>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</si>
  <si>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</si>
  <si>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</si>
  <si>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</si>
  <si>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</si>
  <si>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</si>
  <si>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</si>
  <si>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</si>
  <si>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</si>
  <si>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</si>
  <si>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</si>
  <si>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</si>
  <si>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</si>
  <si>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</si>
  <si>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</si>
  <si>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</si>
  <si>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</si>
  <si>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</si>
  <si>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</si>
  <si>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</si>
  <si>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</si>
  <si>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</si>
  <si>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</si>
  <si>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</si>
  <si>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</si>
  <si>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</si>
  <si>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</si>
  <si>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</si>
  <si>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</si>
  <si>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</si>
  <si>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</si>
  <si>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</si>
  <si>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</si>
  <si>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</si>
  <si>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</si>
  <si>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</si>
  <si>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</si>
  <si>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</si>
  <si>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</si>
  <si>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</si>
  <si>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</si>
  <si>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</si>
  <si>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</si>
  <si>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</si>
  <si>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</si>
  <si>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</si>
  <si>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</si>
  <si>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</si>
  <si>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</si>
  <si>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</si>
  <si>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</si>
  <si>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</si>
  <si>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</si>
  <si>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</si>
  <si>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</si>
  <si>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</si>
  <si>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</si>
  <si>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</si>
  <si>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</si>
  <si>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</si>
  <si>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</si>
  <si>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</si>
  <si>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</si>
  <si>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</si>
  <si>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</si>
  <si>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</si>
  <si>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</si>
  <si>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</si>
  <si>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</si>
  <si>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</si>
  <si>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</si>
  <si>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</si>
  <si>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</si>
  <si>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</si>
  <si>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</si>
  <si>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</si>
  <si>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</si>
  <si>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</si>
  <si>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</si>
  <si>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</si>
  <si>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</si>
  <si>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</si>
  <si>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</si>
  <si>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</si>
  <si>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</si>
  <si>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</si>
  <si>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</si>
  <si>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</si>
  <si>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</si>
  <si>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</si>
  <si>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</si>
  <si>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</si>
  <si>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</si>
  <si>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</si>
  <si>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</si>
  <si>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</si>
  <si>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</si>
  <si>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</si>
  <si>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</si>
  <si>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</si>
  <si>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</si>
  <si>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</si>
  <si>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</si>
  <si>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</si>
  <si>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</si>
  <si>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</si>
  <si>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</si>
  <si>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</si>
  <si>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</si>
  <si>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</si>
  <si>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</si>
  <si>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</si>
  <si>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</si>
  <si>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</si>
  <si>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</si>
  <si>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</si>
  <si>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</si>
  <si>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</si>
  <si>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</si>
  <si>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</si>
  <si>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</si>
  <si>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</si>
  <si>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</si>
  <si>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</si>
  <si>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</si>
  <si>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</si>
  <si>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</si>
  <si>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</si>
  <si>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</si>
  <si>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</si>
  <si>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</si>
  <si>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</si>
  <si>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</si>
  <si>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</si>
  <si>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</si>
  <si>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</si>
  <si>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</si>
  <si>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</si>
  <si>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</si>
  <si>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</si>
  <si>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</si>
  <si>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</si>
  <si>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</si>
  <si>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</si>
  <si>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</si>
  <si>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</si>
  <si>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</si>
  <si>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</si>
  <si>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</si>
  <si>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</si>
  <si>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</si>
  <si>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</si>
  <si>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</si>
  <si>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</si>
  <si>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</si>
  <si>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</si>
  <si>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</si>
  <si>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</si>
  <si>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</si>
  <si>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</si>
  <si>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</si>
  <si>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</si>
  <si>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</si>
  <si>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</si>
  <si>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</si>
  <si>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</si>
  <si>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</si>
  <si>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</si>
  <si>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</si>
  <si>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</si>
  <si>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</si>
  <si>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</si>
  <si>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</si>
  <si>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</si>
  <si>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</si>
  <si>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</si>
  <si>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</si>
  <si>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</si>
  <si>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</si>
  <si>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</si>
  <si>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</si>
  <si>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</si>
  <si>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</si>
  <si>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</si>
  <si>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</si>
  <si>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</si>
  <si>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</si>
  <si>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</si>
  <si>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</si>
  <si>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</si>
  <si>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</si>
  <si>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</si>
  <si>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</si>
  <si>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</si>
  <si>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</si>
  <si>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</si>
  <si>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</si>
  <si>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</si>
  <si>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</si>
  <si>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</si>
  <si>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</si>
  <si>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</si>
  <si>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</si>
  <si>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</si>
  <si>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</si>
  <si>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</si>
  <si>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</si>
  <si>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</si>
  <si>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</si>
  <si>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</si>
  <si>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</si>
  <si>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</si>
  <si>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</si>
  <si>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</si>
  <si>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</si>
  <si>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</si>
  <si>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</si>
  <si>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</si>
  <si>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</si>
  <si>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</si>
  <si>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</si>
  <si>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</si>
  <si>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</si>
  <si>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</si>
  <si>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</si>
  <si>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</si>
  <si>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</si>
  <si>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</si>
  <si>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</si>
  <si>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</si>
  <si>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</si>
  <si>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</si>
  <si>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</si>
  <si>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</si>
  <si>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</si>
  <si>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</si>
  <si>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</si>
  <si>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</si>
  <si>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</si>
  <si>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</si>
  <si>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</si>
  <si>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</si>
  <si>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</si>
  <si>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</si>
  <si>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</si>
  <si>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</si>
  <si>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</si>
  <si>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</si>
  <si>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</si>
  <si>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</si>
  <si>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</si>
  <si>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</si>
  <si>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</si>
  <si>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</si>
  <si>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</si>
  <si>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</si>
  <si>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</si>
  <si>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</si>
  <si>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</si>
  <si>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</si>
  <si>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</si>
  <si>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</si>
  <si>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</si>
  <si>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</si>
  <si>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</si>
  <si>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</si>
  <si>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</si>
  <si>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</si>
  <si>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</si>
  <si>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</si>
  <si>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</si>
  <si>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</si>
  <si>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</si>
  <si>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</si>
  <si>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</si>
  <si>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</si>
  <si>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</si>
  <si>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</si>
  <si>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</si>
  <si>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</si>
  <si>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</si>
  <si>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</si>
  <si>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</si>
  <si>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</si>
  <si>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</si>
  <si>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</si>
  <si>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</si>
  <si>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</si>
  <si>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</si>
  <si>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</si>
  <si>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</si>
  <si>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</si>
  <si>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</si>
  <si>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</si>
  <si>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</si>
  <si>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</si>
  <si>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</si>
  <si>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</si>
  <si>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</si>
  <si>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</si>
  <si>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</si>
  <si>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</si>
  <si>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</si>
  <si>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</si>
  <si>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</si>
  <si>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</si>
  <si>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</si>
  <si>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</si>
  <si>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</si>
  <si>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</si>
  <si>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</si>
  <si>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</si>
  <si>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</si>
  <si>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</si>
  <si>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</si>
  <si>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</si>
  <si>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</si>
  <si>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</si>
  <si>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</si>
  <si>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</si>
  <si>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</si>
  <si>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</si>
  <si>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</si>
  <si>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</si>
  <si>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</si>
  <si>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</si>
  <si>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</si>
  <si>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</si>
  <si>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</si>
  <si>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</si>
  <si>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</si>
  <si>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</si>
  <si>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</si>
  <si>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</si>
  <si>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</si>
  <si>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</si>
  <si>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</si>
  <si>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</si>
  <si>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</si>
  <si>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</si>
  <si>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</si>
  <si>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</si>
  <si>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</si>
  <si>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</si>
  <si>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</si>
  <si>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</si>
  <si>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</si>
  <si>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</si>
  <si>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</si>
  <si>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</si>
  <si>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</si>
  <si>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</si>
  <si>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</si>
  <si>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</si>
  <si>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</si>
  <si>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</si>
  <si>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</si>
  <si>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</si>
  <si>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</si>
  <si>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</si>
  <si>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</si>
  <si>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</si>
  <si>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</si>
  <si>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</si>
  <si>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</si>
  <si>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</si>
  <si>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</si>
  <si>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</si>
  <si>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</si>
  <si>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</si>
  <si>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</si>
  <si>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</si>
  <si>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</si>
  <si>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</si>
  <si>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</si>
  <si>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</si>
  <si>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</si>
  <si>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</si>
  <si>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</si>
  <si>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</si>
  <si>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</si>
  <si>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</si>
  <si>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</si>
  <si>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</si>
  <si>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</si>
  <si>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</si>
  <si>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</si>
  <si>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</si>
  <si>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</si>
  <si>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</si>
  <si>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</si>
  <si>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</si>
  <si>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</si>
  <si>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</si>
  <si>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</si>
  <si>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</si>
  <si>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</si>
  <si>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</si>
  <si>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</si>
  <si>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</si>
  <si>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</si>
  <si>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</si>
  <si>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</si>
  <si>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</si>
  <si>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</si>
  <si>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</si>
  <si>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</si>
  <si>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</si>
  <si>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</si>
  <si>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</si>
  <si>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</si>
  <si>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</si>
  <si>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</si>
  <si>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</si>
  <si>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</si>
  <si>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</si>
  <si>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</si>
  <si>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</si>
  <si>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</si>
  <si>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</si>
  <si>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</si>
  <si>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</si>
  <si>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</si>
  <si>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</si>
  <si>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</si>
  <si>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</si>
  <si>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</si>
  <si>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</si>
  <si>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</si>
  <si>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</si>
  <si>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</si>
  <si>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</si>
  <si>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</si>
  <si>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</si>
  <si>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</si>
  <si>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</si>
  <si>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</si>
  <si>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</si>
  <si>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</si>
  <si>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</si>
  <si>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</si>
  <si>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</si>
  <si>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</si>
  <si>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</si>
  <si>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</si>
  <si>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</si>
  <si>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</si>
  <si>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</si>
  <si>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</si>
  <si>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</si>
  <si>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</si>
  <si>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</si>
  <si>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</si>
  <si>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</si>
  <si>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</si>
  <si>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</si>
  <si>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</si>
  <si>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</si>
  <si>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</si>
  <si>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</si>
  <si>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</si>
  <si>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</si>
  <si>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</si>
  <si>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</si>
  <si>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</si>
  <si>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</si>
  <si>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</si>
  <si>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</si>
  <si>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</si>
  <si>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</si>
  <si>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</si>
  <si>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</si>
  <si>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</si>
  <si>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</si>
  <si>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</si>
  <si>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</si>
  <si>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</si>
  <si>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</si>
  <si>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</si>
  <si>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</si>
  <si>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</si>
  <si>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</si>
  <si>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</si>
  <si>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</si>
  <si>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</si>
  <si>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</si>
  <si>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</si>
  <si>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</si>
  <si>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</si>
  <si>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</si>
  <si>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</si>
  <si>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</si>
  <si>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</si>
  <si>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</si>
  <si>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</si>
  <si>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</si>
  <si>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</si>
  <si>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</si>
  <si>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</si>
  <si>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</si>
  <si>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</si>
  <si>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</si>
  <si>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</si>
  <si>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</si>
  <si>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</si>
  <si>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</si>
  <si>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</si>
  <si>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</si>
  <si>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</si>
  <si>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</si>
  <si>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</si>
  <si>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</si>
  <si>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</si>
  <si>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</si>
  <si>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</si>
  <si>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</si>
  <si>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</si>
  <si>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</si>
  <si>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</si>
  <si>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</si>
  <si>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</si>
  <si>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</si>
  <si>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</si>
  <si>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</si>
  <si>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</si>
  <si>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</si>
  <si>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</si>
  <si>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</si>
  <si>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</si>
  <si>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</si>
  <si>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</si>
  <si>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</si>
  <si>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</si>
  <si>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</si>
  <si>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</si>
  <si>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</si>
  <si>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</si>
  <si>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</si>
  <si>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</si>
  <si>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</si>
  <si>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</si>
  <si>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</si>
  <si>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</si>
  <si>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</si>
  <si>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</si>
  <si>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</si>
  <si>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</si>
  <si>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</si>
  <si>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</si>
  <si>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</si>
  <si>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</si>
  <si>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</si>
  <si>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</si>
  <si>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</si>
  <si>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</si>
  <si>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</si>
  <si>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</si>
  <si>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</si>
  <si>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</si>
  <si>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</si>
  <si>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</si>
  <si>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</si>
  <si>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</si>
  <si>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</si>
  <si>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</si>
  <si>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</si>
  <si>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</si>
  <si>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</si>
  <si>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</si>
  <si>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</si>
  <si>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</si>
  <si>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</si>
  <si>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</si>
  <si>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</si>
  <si>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</si>
  <si>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</si>
  <si>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</si>
  <si>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</si>
  <si>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</si>
  <si>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</si>
  <si>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</si>
  <si>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</si>
  <si>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</si>
  <si>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</si>
  <si>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</si>
  <si>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</si>
  <si>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</si>
  <si>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</si>
  <si>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</si>
  <si>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</si>
  <si>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</si>
  <si>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</si>
  <si>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</si>
  <si>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</si>
  <si>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</si>
  <si>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</si>
  <si>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</si>
  <si>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</si>
  <si>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</si>
  <si>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</si>
  <si>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</si>
  <si>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</si>
  <si>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</si>
  <si>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</si>
  <si>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</si>
  <si>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</si>
  <si>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</si>
  <si>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</si>
  <si>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</si>
  <si>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</si>
  <si>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</si>
  <si>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</si>
  <si>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</si>
  <si>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</si>
  <si>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</si>
  <si>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</si>
  <si>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</si>
  <si>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</si>
  <si>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</si>
  <si>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</si>
  <si>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</si>
  <si>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</si>
  <si>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</si>
  <si>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</si>
  <si>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</si>
  <si>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</si>
  <si>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</si>
  <si>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</si>
  <si>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</si>
  <si>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</si>
  <si>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</si>
  <si>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</si>
  <si>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</si>
  <si>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</si>
  <si>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</si>
  <si>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</si>
  <si>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</si>
  <si>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</si>
  <si>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</si>
  <si>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</si>
  <si>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</si>
  <si>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</si>
  <si>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</si>
  <si>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</si>
  <si>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</si>
  <si>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</si>
  <si>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</si>
  <si>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</si>
  <si>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</si>
  <si>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</si>
  <si>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</si>
  <si>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</si>
  <si>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</si>
  <si>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</si>
  <si>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</si>
  <si>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</si>
  <si>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</si>
  <si>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</si>
  <si>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</si>
  <si>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</si>
  <si>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</si>
  <si>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</si>
  <si>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</si>
  <si>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</si>
  <si>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</si>
  <si>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</si>
  <si>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</si>
  <si>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</si>
  <si>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</si>
  <si>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</si>
  <si>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</si>
  <si>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</si>
  <si>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</si>
  <si>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</si>
  <si>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</si>
  <si>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</si>
  <si>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</si>
  <si>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</si>
  <si>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</si>
  <si>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</si>
  <si>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</si>
  <si>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</si>
  <si>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</si>
  <si>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</si>
  <si>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</si>
  <si>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</si>
  <si>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</si>
  <si>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</si>
  <si>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</si>
  <si>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</si>
  <si>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</si>
  <si>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</si>
  <si>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</si>
  <si>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</si>
  <si>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</si>
  <si>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</si>
  <si>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</si>
  <si>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</si>
  <si>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</si>
  <si>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</si>
  <si>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</si>
  <si>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</si>
  <si>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</si>
  <si>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</si>
  <si>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</si>
  <si>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</si>
  <si>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</si>
  <si>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</si>
  <si>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</si>
  <si>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</si>
  <si>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</si>
  <si>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</si>
  <si>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</si>
  <si>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</si>
  <si>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</si>
  <si>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</si>
  <si>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</si>
  <si>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</si>
  <si>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</si>
  <si>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</si>
  <si>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</si>
  <si>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</si>
  <si>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</si>
  <si>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</si>
  <si>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</si>
  <si>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</si>
  <si>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</si>
  <si>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</si>
  <si>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</si>
  <si>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</si>
  <si>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</si>
  <si>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</si>
  <si>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</si>
  <si>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</si>
  <si>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</si>
  <si>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</si>
  <si>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</si>
  <si>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</si>
  <si>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</si>
  <si>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</si>
  <si>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</si>
  <si>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</si>
  <si>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</si>
  <si>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</si>
  <si>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</si>
  <si>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</si>
  <si>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</si>
  <si>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</si>
  <si>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</si>
  <si>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</si>
  <si>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</si>
  <si>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</si>
  <si>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</si>
  <si>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</si>
  <si>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</si>
  <si>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</si>
  <si>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</si>
  <si>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</si>
  <si>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</si>
  <si>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</si>
  <si>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</si>
  <si>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</si>
  <si>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</si>
  <si>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</si>
  <si>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</si>
  <si>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</si>
  <si>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</si>
  <si>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</si>
  <si>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</si>
  <si>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</si>
  <si>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</si>
  <si>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</si>
  <si>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</si>
  <si>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</si>
  <si>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</si>
  <si>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</si>
  <si>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</si>
  <si>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</si>
  <si>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</si>
  <si>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</si>
  <si>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</si>
  <si>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</si>
  <si>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</si>
  <si>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</si>
  <si>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</si>
  <si>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</si>
  <si>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</si>
  <si>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</si>
  <si>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</si>
  <si>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</si>
  <si>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</si>
  <si>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</si>
  <si>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</si>
  <si>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</si>
  <si>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</si>
  <si>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</si>
  <si>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</si>
  <si>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</si>
  <si>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</si>
  <si>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</si>
  <si>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</si>
  <si>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</si>
  <si>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</si>
  <si>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</si>
  <si>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</si>
  <si>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</si>
  <si>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</si>
  <si>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</si>
  <si>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</si>
  <si>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</si>
  <si>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</si>
  <si>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</si>
  <si>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</si>
  <si>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</si>
  <si>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</si>
  <si>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</si>
  <si>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</si>
  <si>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</si>
  <si>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</si>
  <si>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</si>
  <si>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</si>
  <si>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</si>
  <si>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</si>
  <si>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</si>
  <si>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</si>
  <si>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</si>
  <si>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</si>
  <si>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</si>
  <si>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</si>
  <si>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</si>
  <si>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</si>
  <si>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</si>
  <si>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</si>
  <si>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</si>
  <si>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</si>
  <si>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</si>
  <si>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</si>
  <si>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</si>
  <si>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</si>
  <si>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</si>
  <si>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</si>
  <si>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</si>
  <si>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</si>
  <si>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</si>
  <si>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</si>
  <si>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</si>
  <si>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</si>
  <si>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</si>
  <si>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</si>
  <si>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</si>
  <si>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</si>
  <si>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</si>
  <si>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</si>
  <si>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</si>
  <si>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</si>
  <si>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</si>
  <si>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</si>
  <si>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</si>
  <si>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</si>
  <si>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</si>
  <si>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</si>
  <si>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</si>
  <si>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</si>
  <si>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</si>
  <si>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</si>
  <si>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</si>
  <si>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</si>
  <si>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</si>
  <si>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</si>
  <si>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</si>
  <si>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</si>
  <si>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</si>
  <si>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</si>
  <si>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</si>
  <si>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</si>
  <si>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</si>
  <si>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</si>
  <si>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</si>
  <si>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</si>
  <si>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</si>
  <si>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</si>
  <si>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</si>
  <si>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</si>
  <si>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</si>
  <si>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</si>
  <si>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</si>
  <si>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</si>
  <si>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</si>
  <si>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</si>
  <si>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</si>
  <si>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</si>
  <si>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</si>
  <si>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</si>
  <si>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</si>
  <si>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</si>
  <si>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</si>
  <si>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</si>
  <si>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</si>
  <si>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</si>
  <si>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</si>
  <si>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</si>
  <si>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</si>
  <si>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</si>
  <si>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</si>
  <si>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</si>
  <si>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</si>
  <si>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</si>
  <si>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</si>
  <si>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</si>
  <si>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</si>
  <si>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</si>
  <si>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</si>
  <si>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</si>
  <si>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</si>
  <si>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</si>
  <si>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</si>
  <si>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</si>
  <si>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</si>
  <si>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</si>
  <si>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</si>
  <si>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</si>
  <si>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</si>
  <si>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</si>
  <si>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</si>
  <si>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</si>
  <si>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</si>
  <si>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</si>
  <si>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</si>
  <si>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</si>
  <si>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</si>
  <si>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</si>
  <si>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</si>
  <si>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</si>
  <si>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</si>
  <si>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</si>
  <si>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</si>
  <si>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</si>
  <si>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</si>
  <si>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</si>
  <si>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</si>
  <si>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</si>
  <si>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</si>
  <si>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</si>
  <si>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</si>
  <si>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</si>
  <si>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</si>
  <si>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</si>
  <si>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</si>
  <si>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</si>
  <si>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</si>
  <si>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</si>
  <si>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</si>
  <si>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</si>
  <si>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</si>
  <si>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</si>
  <si>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</si>
  <si>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</si>
  <si>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</si>
  <si>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</si>
  <si>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</si>
  <si>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</si>
  <si>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</si>
  <si>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</si>
  <si>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</si>
  <si>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</si>
  <si>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</si>
  <si>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</si>
  <si>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</si>
  <si>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</si>
  <si>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</si>
  <si>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</si>
  <si>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</si>
  <si>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</si>
  <si>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</si>
  <si>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</si>
  <si>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</si>
  <si>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</si>
  <si>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</si>
  <si>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</si>
  <si>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</si>
  <si>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</si>
  <si>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</si>
  <si>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</si>
  <si>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</si>
  <si>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</si>
  <si>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</si>
  <si>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</si>
  <si>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</si>
  <si>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</si>
  <si>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</si>
  <si>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</si>
  <si>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</si>
  <si>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</si>
  <si>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</si>
  <si>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</si>
  <si>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</si>
  <si>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</si>
  <si>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</si>
  <si>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</si>
  <si>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</si>
  <si>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</si>
  <si>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</si>
  <si>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</si>
  <si>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</si>
  <si>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</si>
  <si>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</si>
  <si>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</si>
  <si>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</si>
  <si>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</si>
  <si>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</si>
  <si>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</si>
  <si>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</si>
  <si>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</si>
  <si>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</si>
  <si>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</si>
  <si>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</si>
  <si>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</si>
  <si>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</si>
  <si>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</si>
  <si>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</si>
  <si>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</si>
  <si>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</si>
  <si>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</si>
  <si>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</si>
  <si>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</si>
  <si>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</si>
  <si>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</si>
  <si>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</si>
  <si>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</si>
  <si>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</si>
  <si>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</si>
  <si>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</si>
  <si>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</si>
  <si>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</si>
  <si>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</si>
  <si>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</si>
  <si>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</si>
  <si>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</si>
  <si>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</si>
  <si>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</si>
  <si>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</si>
  <si>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</si>
  <si>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</si>
  <si>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</si>
  <si>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</si>
  <si>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</si>
  <si>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</si>
  <si>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</si>
  <si>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</si>
  <si>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</si>
  <si>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</si>
  <si>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</si>
  <si>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</si>
  <si>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</si>
  <si>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</si>
  <si>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</si>
  <si>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</si>
  <si>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</si>
  <si>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</si>
  <si>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</si>
  <si>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</si>
  <si>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</si>
  <si>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</si>
  <si>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</si>
  <si>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</si>
  <si>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</si>
  <si>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</si>
  <si>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</si>
  <si>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</si>
  <si>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</si>
  <si>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</si>
  <si>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</si>
  <si>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</si>
  <si>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</si>
  <si>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</si>
  <si>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</si>
  <si>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</si>
  <si>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</si>
  <si>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</si>
  <si>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</si>
  <si>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</si>
  <si>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</si>
  <si>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</si>
  <si>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</si>
  <si>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</si>
  <si>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</si>
  <si>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</si>
  <si>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</si>
  <si>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</si>
  <si>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</si>
  <si>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</si>
  <si>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</si>
  <si>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</si>
  <si>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</si>
  <si>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</si>
  <si>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</si>
  <si>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</si>
  <si>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</si>
  <si>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</si>
  <si>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</si>
  <si>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</si>
  <si>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</si>
  <si>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</si>
  <si>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</si>
  <si>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</si>
  <si>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</si>
  <si>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</si>
  <si>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</si>
  <si>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</si>
  <si>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</si>
  <si>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</si>
  <si>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</si>
  <si>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</si>
  <si>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</si>
  <si>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</si>
  <si>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</si>
  <si>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</si>
  <si>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</si>
  <si>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</si>
  <si>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</si>
  <si>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</si>
  <si>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</si>
  <si>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</si>
  <si>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</si>
  <si>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</si>
  <si>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</si>
  <si>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</si>
  <si>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</si>
  <si>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</si>
  <si>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</si>
  <si>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</si>
  <si>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</si>
  <si>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</si>
  <si>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</si>
  <si>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</si>
  <si>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</si>
  <si>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</si>
  <si>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</si>
  <si>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</si>
  <si>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</si>
  <si>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</si>
  <si>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</si>
  <si>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</si>
  <si>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</si>
  <si>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</si>
  <si>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</si>
  <si>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</si>
  <si>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</si>
  <si>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</si>
  <si>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</si>
  <si>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</si>
  <si>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</si>
  <si>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</si>
  <si>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</si>
  <si>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</si>
  <si>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</si>
  <si>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</si>
  <si>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</si>
  <si>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</si>
  <si>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</si>
  <si>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</si>
  <si>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</si>
  <si>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</si>
  <si>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</si>
  <si>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</si>
  <si>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</si>
  <si>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</si>
  <si>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</si>
  <si>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</si>
  <si>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</si>
  <si>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</si>
  <si>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</si>
  <si>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</si>
  <si>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</si>
  <si>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</si>
  <si>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</si>
  <si>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</si>
  <si>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</si>
  <si>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</si>
  <si>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</si>
  <si>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</si>
  <si>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</si>
  <si>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</si>
  <si>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</si>
  <si>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</si>
  <si>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</si>
  <si>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</si>
  <si>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</si>
  <si>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</si>
  <si>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</si>
  <si>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</si>
  <si>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</si>
  <si>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</si>
  <si>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</si>
  <si>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</si>
  <si>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</si>
  <si>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</si>
  <si>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</si>
  <si>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</si>
  <si>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</si>
  <si>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</si>
  <si>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</si>
  <si>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</si>
  <si>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</si>
  <si>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</si>
  <si>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</si>
  <si>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</si>
  <si>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</si>
  <si>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</si>
  <si>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</si>
  <si>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</si>
  <si>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</si>
  <si>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</si>
  <si>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</si>
  <si>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</si>
  <si>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</si>
  <si>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</si>
  <si>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</si>
  <si>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</si>
  <si>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</si>
  <si>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</si>
  <si>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</si>
  <si>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</si>
  <si>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</si>
  <si>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</si>
  <si>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</si>
  <si>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</si>
  <si>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</si>
  <si>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</si>
  <si>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</si>
  <si>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</si>
  <si>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</si>
  <si>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</si>
  <si>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</si>
  <si>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</si>
  <si>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</si>
  <si>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</si>
  <si>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</si>
  <si>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</si>
  <si>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</si>
  <si>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</si>
  <si>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</si>
  <si>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</si>
  <si>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</si>
  <si>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</si>
  <si>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</si>
  <si>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</si>
  <si>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</si>
  <si>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</si>
  <si>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</si>
  <si>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</si>
  <si>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</si>
  <si>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</si>
  <si>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</si>
  <si>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</si>
  <si>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</si>
  <si>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</si>
  <si>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</si>
  <si>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</si>
  <si>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</si>
  <si>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</si>
  <si>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</si>
  <si>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</si>
  <si>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</si>
  <si>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</si>
  <si>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</si>
  <si>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</si>
  <si>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</si>
  <si>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</si>
  <si>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</si>
  <si>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</si>
  <si>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</si>
  <si>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</si>
  <si>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</si>
  <si>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</si>
  <si>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</si>
  <si>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</si>
  <si>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</si>
  <si>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</si>
  <si>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</si>
  <si>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</si>
  <si>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</si>
  <si>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</si>
  <si>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</si>
  <si>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</si>
  <si>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</si>
  <si>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</si>
  <si>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</si>
  <si>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</si>
  <si>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</si>
  <si>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</si>
  <si>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</si>
  <si>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</si>
  <si>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</si>
  <si>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</si>
  <si>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</si>
  <si>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</si>
  <si>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</si>
  <si>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</si>
  <si>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</si>
  <si>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</si>
  <si>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</si>
  <si>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</si>
  <si>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</si>
  <si>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</si>
  <si>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</si>
  <si>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</si>
  <si>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</si>
  <si>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</si>
  <si>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</si>
  <si>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</si>
  <si>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</si>
  <si>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</si>
  <si>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</si>
  <si>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</si>
  <si>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</si>
  <si>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</si>
  <si>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</si>
  <si>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</si>
  <si>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</si>
  <si>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</si>
  <si>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</si>
  <si>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</si>
  <si>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</si>
  <si>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</si>
  <si>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</si>
  <si>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</si>
  <si>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</si>
  <si>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</si>
  <si>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</si>
  <si>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</si>
  <si>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</si>
  <si>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</si>
  <si>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</si>
  <si>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</si>
  <si>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</si>
  <si>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</si>
  <si>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</si>
  <si>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</si>
  <si>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</si>
  <si>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</si>
  <si>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</si>
  <si>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</si>
  <si>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</si>
  <si>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</si>
  <si>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</si>
  <si>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</si>
  <si>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</si>
  <si>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</si>
  <si>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</si>
  <si>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</si>
  <si>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</si>
  <si>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</si>
  <si>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</si>
  <si>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</si>
  <si>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</si>
  <si>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</si>
  <si>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</si>
  <si>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</si>
  <si>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</si>
  <si>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</si>
  <si>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</si>
  <si>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</si>
  <si>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</si>
  <si>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</si>
  <si>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</si>
  <si>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</si>
  <si>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</si>
  <si>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</si>
  <si>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</si>
  <si>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</si>
  <si>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</si>
  <si>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</si>
  <si>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</si>
  <si>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</si>
  <si>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</si>
  <si>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</si>
  <si>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</si>
  <si>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</si>
  <si>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</si>
  <si>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</si>
  <si>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</si>
  <si>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</si>
  <si>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</si>
  <si>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</si>
  <si>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</si>
  <si>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</si>
  <si>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</si>
  <si>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</si>
  <si>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</si>
  <si>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</si>
  <si>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</si>
  <si>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</si>
  <si>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</si>
  <si>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</si>
  <si>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</si>
  <si>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</si>
  <si>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</si>
  <si>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</si>
  <si>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</si>
  <si>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</si>
  <si>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</si>
  <si>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</si>
  <si>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</si>
  <si>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</si>
  <si>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</si>
  <si>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</si>
  <si>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</si>
  <si>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</si>
  <si>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</si>
  <si>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</si>
  <si>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</si>
  <si>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</si>
  <si>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</si>
  <si>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</si>
  <si>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</si>
  <si>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</si>
  <si>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</si>
  <si>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</si>
  <si>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</si>
  <si>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</si>
  <si>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</si>
  <si>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</si>
  <si>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</si>
  <si>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</si>
  <si>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</si>
  <si>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</si>
  <si>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</si>
  <si>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</si>
  <si>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</si>
  <si>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</si>
  <si>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</si>
  <si>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</si>
  <si>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</si>
  <si>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</si>
  <si>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</si>
  <si>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</si>
  <si>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</si>
  <si>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</si>
  <si>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</si>
  <si>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</si>
  <si>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</si>
  <si>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</si>
  <si>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</si>
  <si>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</si>
  <si>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</si>
  <si>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</si>
  <si>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</si>
  <si>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</si>
  <si>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</si>
  <si>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</si>
  <si>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</si>
  <si>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</si>
  <si>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</si>
  <si>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</si>
  <si>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</si>
  <si>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</si>
  <si>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</si>
  <si>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</si>
  <si>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</si>
  <si>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</si>
  <si>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</si>
  <si>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</si>
  <si>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</si>
  <si>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</si>
  <si>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</si>
  <si>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</si>
  <si>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</si>
  <si>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</si>
  <si>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</si>
  <si>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</si>
  <si>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</si>
  <si>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</si>
  <si>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</si>
  <si>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</si>
  <si>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</si>
  <si>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</si>
  <si>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</si>
  <si>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</si>
  <si>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</si>
  <si>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</si>
  <si>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</si>
  <si>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</si>
  <si>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</si>
  <si>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</si>
  <si>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</si>
  <si>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</si>
  <si>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</si>
  <si>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</si>
  <si>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</si>
  <si>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</si>
  <si>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</si>
  <si>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</si>
  <si>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</si>
  <si>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</si>
  <si>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</si>
  <si>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</si>
  <si>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</si>
  <si>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</si>
  <si>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</si>
  <si>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</si>
  <si>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</si>
  <si>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</si>
  <si>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</si>
  <si>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</si>
  <si>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</si>
  <si>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</si>
  <si>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</si>
  <si>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</si>
  <si>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</si>
  <si>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</si>
  <si>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</si>
  <si>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</si>
  <si>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</si>
  <si>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</si>
  <si>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</si>
  <si>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</si>
  <si>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</si>
  <si>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</si>
  <si>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</si>
  <si>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</si>
  <si>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</si>
  <si>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</si>
  <si>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</si>
  <si>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</si>
  <si>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</si>
  <si>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</si>
  <si>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</si>
  <si>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</si>
  <si>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</si>
  <si>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</si>
  <si>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</si>
  <si>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</si>
  <si>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</si>
  <si>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</si>
  <si>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</si>
  <si>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</si>
  <si>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</si>
  <si>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</si>
  <si>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</si>
  <si>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</si>
  <si>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</si>
  <si>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</si>
  <si>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</si>
  <si>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</si>
  <si>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</si>
  <si>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</si>
  <si>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</si>
  <si>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</si>
  <si>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</si>
  <si>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</si>
  <si>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</si>
  <si>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</si>
  <si>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</si>
  <si>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</si>
  <si>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</si>
  <si>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</si>
  <si>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</si>
  <si>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</si>
  <si>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</si>
  <si>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</si>
  <si>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</si>
  <si>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</si>
  <si>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</si>
  <si>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</si>
  <si>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</si>
  <si>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</si>
  <si>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</si>
  <si>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</si>
  <si>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</si>
  <si>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</si>
  <si>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</si>
  <si>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</si>
  <si>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</si>
  <si>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</si>
  <si>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</si>
  <si>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</si>
  <si>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</si>
  <si>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</si>
  <si>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</si>
  <si>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</si>
  <si>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</si>
  <si>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</si>
  <si>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</si>
  <si>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</si>
  <si>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</si>
  <si>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</si>
  <si>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</si>
  <si>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</si>
  <si>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</si>
  <si>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</si>
  <si>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</si>
  <si>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</si>
  <si>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</si>
  <si>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</si>
  <si>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</si>
  <si>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</si>
  <si>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</si>
  <si>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</si>
  <si>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</si>
  <si>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</si>
  <si>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</si>
  <si>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</si>
  <si>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</si>
  <si>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</si>
  <si>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</si>
  <si>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</si>
  <si>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</si>
  <si>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</si>
  <si>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</si>
  <si>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</si>
  <si>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</si>
  <si>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</si>
  <si>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</si>
  <si>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</si>
  <si>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</si>
  <si>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</si>
  <si>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</si>
  <si>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</si>
  <si>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</si>
  <si>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</si>
  <si>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</si>
  <si>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</si>
  <si>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</si>
  <si>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</si>
  <si>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</si>
  <si>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</si>
  <si>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</si>
  <si>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</si>
  <si>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</si>
  <si>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</si>
  <si>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</si>
  <si>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</si>
  <si>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</si>
  <si>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</si>
  <si>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</si>
  <si>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</si>
  <si>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</si>
  <si>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</si>
  <si>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</si>
  <si>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</si>
  <si>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</si>
  <si>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</si>
  <si>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</si>
  <si>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</si>
  <si>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</si>
  <si>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</si>
  <si>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</si>
  <si>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</si>
  <si>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</si>
  <si>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</si>
  <si>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shipping_delay_days</t>
  </si>
  <si>
    <t>calculated_sales</t>
  </si>
  <si>
    <t>calculated_profit</t>
  </si>
  <si>
    <t>profit_margin</t>
  </si>
  <si>
    <t>order_month</t>
  </si>
  <si>
    <t>order_year</t>
  </si>
  <si>
    <t>data_quality_flag</t>
  </si>
  <si>
    <t>cleaned_discount</t>
  </si>
  <si>
    <t>Invalid shipping record</t>
  </si>
  <si>
    <t>Invalid discount</t>
  </si>
  <si>
    <t>Invalid shipping record, Invalid discount</t>
  </si>
  <si>
    <t>Invalid shipping record, Cancelled order</t>
  </si>
  <si>
    <t>Invalid shipping record, Invalid discount, Cancelled Order</t>
  </si>
  <si>
    <t>Cancelled order</t>
  </si>
  <si>
    <t>Cancelled order, Failed transaction</t>
  </si>
  <si>
    <t>Invalid discount, Cancelled order, Failed transaction</t>
  </si>
  <si>
    <t>Invalid shipping record, Cancelled order, Failed transaction</t>
  </si>
  <si>
    <t>Invalid shipping record, Invalid discount, Cancelled Order, Failed transaction</t>
  </si>
  <si>
    <t>Conflicting duplicates</t>
  </si>
  <si>
    <t>Failed transaction, Conflicting duplicates</t>
  </si>
  <si>
    <t>Invalid shipping record, Conflicting duplicates</t>
  </si>
  <si>
    <t>Invalid shipping record, Cancelled order, Conflicting duplicates</t>
  </si>
  <si>
    <t>Cancelled order, Pending payments</t>
  </si>
  <si>
    <t>Invalid discount, Cancelled order, Pending payments</t>
  </si>
  <si>
    <t>Invalid shipping record, Cancelled order, Pending payments</t>
  </si>
  <si>
    <t>Refunded, Returned</t>
  </si>
  <si>
    <t>Cancelled order, Refunded</t>
  </si>
  <si>
    <t>Cancelled order, Conflicting duplicates, Refunded</t>
  </si>
  <si>
    <t>Conflicting duplicates, Refunded, Returned</t>
  </si>
  <si>
    <t>Invalid discount, Cancelled order, Refunded</t>
  </si>
  <si>
    <t>Invalid shipping record, Refunded, Returned</t>
  </si>
  <si>
    <t>Invalid shipping record, Cancelled order, Refunded</t>
  </si>
  <si>
    <t>Pending payments, Returned</t>
  </si>
  <si>
    <t>Invalid shipping record, Pending payments, Returned</t>
  </si>
  <si>
    <t>Invalid shipping record, Failed transaction, Returned</t>
  </si>
  <si>
    <t>Invalid shipping record, Conflicting duplicates, Returned</t>
  </si>
  <si>
    <t>Invalid shipping record, Returned</t>
  </si>
  <si>
    <t>Invalid discount, Pending payments, Returned</t>
  </si>
  <si>
    <t>Failed transaction, Conflicting duplicates, Returned</t>
  </si>
  <si>
    <t>Failed transaction, Returned</t>
  </si>
  <si>
    <t>Conflicting duplicates, Returned</t>
  </si>
  <si>
    <t>calculated_sales - sales</t>
  </si>
  <si>
    <t>calculated_profit - profit</t>
  </si>
  <si>
    <t>data_quality_notes</t>
  </si>
  <si>
    <t>Invalid</t>
  </si>
  <si>
    <t>Warning</t>
  </si>
  <si>
    <t>Clean</t>
  </si>
  <si>
    <t>Missing Ship Mode</t>
  </si>
  <si>
    <t>Pending payments, Returned, Missing Ship Mode</t>
  </si>
  <si>
    <t>Cancelled order, Pending payments, Missing Ship Mode</t>
  </si>
  <si>
    <t>Invalid shipping record, Missing Ship Mode</t>
  </si>
  <si>
    <t>Invalid shipping record, Failed transaction, Conflicting duplicates, Returned, Missing Ship Mode</t>
  </si>
  <si>
    <t>Refunded, Returned, Missing Ship Mode</t>
  </si>
  <si>
    <t>Returned, Missing Ship Mode</t>
  </si>
  <si>
    <t>Invalid shipping record, Failed transaction, Conflicting duplicates, Missing 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</si>
</sst>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16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50021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0021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3"/>
  <sheetViews>
    <sheetView tabSelected="1" zoomScaleNormal="100" workbookViewId="0">
      <selection activeCell="A2" sqref="A2"/>
    </sheetView>
  </sheetViews>
  <sheetFormatPr defaultRowHeight="14.25"/>
  <cols>
    <col min="1" max="1" width="16" customWidth="1"/>
    <col min="2" max="2" width="27.875" customWidth="1"/>
    <col min="3" max="4" width="21.375" customWidth="1"/>
    <col min="5" max="5" width="24.5" style="3" customWidth="1"/>
    <col min="6" max="6" width="23.25" customWidth="1"/>
    <col min="7" max="18" width="16" customWidth="1"/>
    <col min="19" max="19" width="16" style="6" customWidth="1"/>
    <col min="20" max="20" width="19.125" style="6" customWidth="1"/>
    <col min="21" max="21" width="16" customWidth="1"/>
    <col min="22" max="22" width="18.375" customWidth="1"/>
    <col min="23" max="23" width="18.375" style="6" customWidth="1"/>
    <col min="24" max="31" width="16" customWidth="1"/>
    <col min="32" max="32" width="53.625" customWidth="1"/>
  </cols>
  <sheetData>
    <row r="1" spans="1:32" ht="27.95" customHeight="1">
      <c r="A1" s="1" t="s">
        <v>0</v>
      </c>
      <c r="B1" s="1" t="s">
        <v>1</v>
      </c>
      <c r="C1" s="8" t="s">
        <v>2786</v>
      </c>
      <c r="D1" s="8" t="s">
        <v>2787</v>
      </c>
      <c r="E1" s="4" t="s">
        <v>2</v>
      </c>
      <c r="F1" s="7" t="s">
        <v>2782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5" t="s">
        <v>15</v>
      </c>
      <c r="T1" s="9" t="s">
        <v>2789</v>
      </c>
      <c r="U1" s="1" t="s">
        <v>16</v>
      </c>
      <c r="V1" s="8" t="s">
        <v>2783</v>
      </c>
      <c r="W1" s="9" t="s">
        <v>2823</v>
      </c>
      <c r="X1" s="1" t="s">
        <v>17</v>
      </c>
      <c r="Y1" s="1" t="s">
        <v>18</v>
      </c>
      <c r="Z1" s="8" t="s">
        <v>2784</v>
      </c>
      <c r="AA1" s="8" t="s">
        <v>2824</v>
      </c>
      <c r="AB1" s="8" t="s">
        <v>2785</v>
      </c>
      <c r="AC1" s="1" t="s">
        <v>19</v>
      </c>
      <c r="AD1" s="1" t="s">
        <v>20</v>
      </c>
      <c r="AE1" s="8" t="s">
        <v>2788</v>
      </c>
      <c r="AF1" s="8" t="s">
        <v>2825</v>
      </c>
    </row>
    <row r="2" spans="1:32">
      <c r="A2" t="s">
        <v>21</v>
      </c>
      <c r="B2" s="3">
        <v>45494</v>
      </c>
      <c r="C2" t="str">
        <f>TEXT(B2, "mmmm")</f>
        <v>July</v>
      </c>
      <c r="D2">
        <f>YEAR(B2)</f>
        <v>2024</v>
      </c>
      <c r="E2" s="3">
        <v>45500</v>
      </c>
      <c r="F2">
        <f t="shared" ref="F2:F65" si="0">E2-B2</f>
        <v>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8</v>
      </c>
      <c r="R2">
        <v>2976.45</v>
      </c>
      <c r="S2" s="6">
        <v>0.2</v>
      </c>
      <c r="T2" s="6">
        <f>ABS(S2)</f>
        <v>0.2</v>
      </c>
      <c r="U2">
        <v>19049.28</v>
      </c>
      <c r="V2">
        <f>Q2*R2*(1-T2)</f>
        <v>19049.28</v>
      </c>
      <c r="W2" s="6">
        <f>V2-U2</f>
        <v>0</v>
      </c>
      <c r="X2">
        <v>15841.89</v>
      </c>
      <c r="Y2">
        <v>3207.39</v>
      </c>
      <c r="Z2">
        <f>V2-X2</f>
        <v>3207.3899999999994</v>
      </c>
      <c r="AA2" s="6">
        <f>Z2-Y2</f>
        <v>0</v>
      </c>
      <c r="AB2">
        <f>Z2/V2</f>
        <v>0.16837329284886357</v>
      </c>
      <c r="AC2" t="s">
        <v>32</v>
      </c>
      <c r="AD2" t="s">
        <v>33</v>
      </c>
      <c r="AE2" t="s">
        <v>2828</v>
      </c>
    </row>
    <row r="3" spans="1:32">
      <c r="A3" t="s">
        <v>34</v>
      </c>
      <c r="B3" s="3">
        <v>45535</v>
      </c>
      <c r="C3" t="str">
        <f t="shared" ref="C3:C66" si="1">TEXT(B3, "mmmm")</f>
        <v>August</v>
      </c>
      <c r="D3">
        <f t="shared" ref="D3:D66" si="2">YEAR(B3)</f>
        <v>2024</v>
      </c>
      <c r="E3" s="3">
        <v>45421</v>
      </c>
      <c r="F3">
        <f t="shared" si="0"/>
        <v>-114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>
        <v>3</v>
      </c>
      <c r="R3">
        <v>2437.5</v>
      </c>
      <c r="S3" s="6">
        <v>0</v>
      </c>
      <c r="T3" s="6">
        <f t="shared" ref="T3:T66" si="3">ABS(S3)</f>
        <v>0</v>
      </c>
      <c r="U3">
        <v>7312.5</v>
      </c>
      <c r="V3">
        <f t="shared" ref="V3:V66" si="4">Q3*R3*(1-T3)</f>
        <v>7312.5</v>
      </c>
      <c r="W3" s="6">
        <f t="shared" ref="W3:W66" si="5">V3-U3</f>
        <v>0</v>
      </c>
      <c r="X3">
        <v>4904.7299999999996</v>
      </c>
      <c r="Y3">
        <v>2407.77</v>
      </c>
      <c r="Z3">
        <f t="shared" ref="Z3:Z66" si="6">V3-X3</f>
        <v>2407.7700000000004</v>
      </c>
      <c r="AA3" s="6">
        <f t="shared" ref="AA3:AA66" si="7">Z3-Y3</f>
        <v>0</v>
      </c>
      <c r="AB3">
        <f t="shared" ref="AB3:AB66" si="8">Z3/V3</f>
        <v>0.32926769230769237</v>
      </c>
      <c r="AC3" t="s">
        <v>32</v>
      </c>
      <c r="AD3" t="s">
        <v>33</v>
      </c>
      <c r="AE3" t="s">
        <v>2826</v>
      </c>
      <c r="AF3" s="10" t="s">
        <v>2790</v>
      </c>
    </row>
    <row r="4" spans="1:32">
      <c r="A4" t="s">
        <v>45</v>
      </c>
      <c r="B4" s="3">
        <v>45451</v>
      </c>
      <c r="C4" t="str">
        <f t="shared" si="1"/>
        <v>June</v>
      </c>
      <c r="D4">
        <f t="shared" si="2"/>
        <v>2024</v>
      </c>
      <c r="E4" s="3">
        <v>45458</v>
      </c>
      <c r="F4">
        <f t="shared" si="0"/>
        <v>7</v>
      </c>
      <c r="G4" t="s">
        <v>46</v>
      </c>
      <c r="H4" t="s">
        <v>47</v>
      </c>
      <c r="I4" t="s">
        <v>24</v>
      </c>
      <c r="J4" t="s">
        <v>38</v>
      </c>
      <c r="K4" t="s">
        <v>39</v>
      </c>
      <c r="L4" t="s">
        <v>40</v>
      </c>
      <c r="M4" t="s">
        <v>28</v>
      </c>
      <c r="N4" t="s">
        <v>48</v>
      </c>
      <c r="O4" t="s">
        <v>49</v>
      </c>
      <c r="P4" t="s">
        <v>50</v>
      </c>
      <c r="Q4">
        <v>4</v>
      </c>
      <c r="R4">
        <v>1065.43</v>
      </c>
      <c r="S4" s="6">
        <v>0.55000000000000004</v>
      </c>
      <c r="T4" s="6">
        <f t="shared" si="3"/>
        <v>0.55000000000000004</v>
      </c>
      <c r="U4">
        <v>4261.72</v>
      </c>
      <c r="V4">
        <f t="shared" si="4"/>
        <v>1917.7739999999999</v>
      </c>
      <c r="W4" s="6">
        <f t="shared" si="5"/>
        <v>-2343.9460000000004</v>
      </c>
      <c r="X4">
        <v>2465.69</v>
      </c>
      <c r="Y4">
        <v>1796.03</v>
      </c>
      <c r="Z4">
        <f t="shared" si="6"/>
        <v>-547.91600000000017</v>
      </c>
      <c r="AA4" s="6">
        <f t="shared" si="7"/>
        <v>-2343.9459999999999</v>
      </c>
      <c r="AB4">
        <f t="shared" si="8"/>
        <v>-0.28570415492127865</v>
      </c>
      <c r="AC4" t="s">
        <v>32</v>
      </c>
      <c r="AD4" t="s">
        <v>33</v>
      </c>
      <c r="AE4" t="s">
        <v>2828</v>
      </c>
    </row>
    <row r="5" spans="1:32">
      <c r="A5" t="s">
        <v>51</v>
      </c>
      <c r="B5" s="3">
        <v>45624</v>
      </c>
      <c r="C5" t="str">
        <f t="shared" si="1"/>
        <v>November</v>
      </c>
      <c r="D5">
        <f t="shared" si="2"/>
        <v>2024</v>
      </c>
      <c r="E5" s="3">
        <v>45625</v>
      </c>
      <c r="F5">
        <f t="shared" si="0"/>
        <v>1</v>
      </c>
      <c r="G5" t="s">
        <v>52</v>
      </c>
      <c r="H5" t="s">
        <v>53</v>
      </c>
      <c r="I5" t="s">
        <v>37</v>
      </c>
      <c r="J5" t="s">
        <v>54</v>
      </c>
      <c r="K5" t="s">
        <v>55</v>
      </c>
      <c r="L5" t="s">
        <v>56</v>
      </c>
      <c r="M5" t="s">
        <v>41</v>
      </c>
      <c r="N5" t="s">
        <v>57</v>
      </c>
      <c r="O5" t="s">
        <v>58</v>
      </c>
      <c r="P5" t="s">
        <v>59</v>
      </c>
      <c r="Q5">
        <v>6</v>
      </c>
      <c r="R5">
        <v>1848.43</v>
      </c>
      <c r="S5" s="6">
        <v>0.25</v>
      </c>
      <c r="T5" s="6">
        <f t="shared" si="3"/>
        <v>0.25</v>
      </c>
      <c r="U5">
        <v>8317.93</v>
      </c>
      <c r="V5">
        <f t="shared" si="4"/>
        <v>8317.9349999999995</v>
      </c>
      <c r="W5" s="6">
        <f t="shared" si="5"/>
        <v>4.9999999991996447E-3</v>
      </c>
      <c r="X5">
        <v>6796.77</v>
      </c>
      <c r="Y5">
        <v>1521.16</v>
      </c>
      <c r="Z5">
        <f t="shared" si="6"/>
        <v>1521.1649999999991</v>
      </c>
      <c r="AA5" s="6">
        <f t="shared" si="7"/>
        <v>4.999999998972271E-3</v>
      </c>
      <c r="AB5">
        <f t="shared" si="8"/>
        <v>0.18287772145370204</v>
      </c>
      <c r="AC5" t="s">
        <v>32</v>
      </c>
      <c r="AD5" t="s">
        <v>33</v>
      </c>
      <c r="AE5" t="s">
        <v>2828</v>
      </c>
    </row>
    <row r="6" spans="1:32">
      <c r="A6" t="s">
        <v>60</v>
      </c>
      <c r="B6" s="3">
        <v>45898</v>
      </c>
      <c r="C6" t="str">
        <f t="shared" si="1"/>
        <v>August</v>
      </c>
      <c r="D6">
        <f t="shared" si="2"/>
        <v>2025</v>
      </c>
      <c r="E6" s="3">
        <v>45666</v>
      </c>
      <c r="F6">
        <f t="shared" si="0"/>
        <v>-232</v>
      </c>
      <c r="G6" t="s">
        <v>61</v>
      </c>
      <c r="H6" t="s">
        <v>62</v>
      </c>
      <c r="I6" t="s">
        <v>37</v>
      </c>
      <c r="J6" t="s">
        <v>63</v>
      </c>
      <c r="K6" t="s">
        <v>64</v>
      </c>
      <c r="L6" t="s">
        <v>65</v>
      </c>
      <c r="M6" t="s">
        <v>41</v>
      </c>
      <c r="N6" t="s">
        <v>66</v>
      </c>
      <c r="O6" t="s">
        <v>67</v>
      </c>
      <c r="P6" t="s">
        <v>50</v>
      </c>
      <c r="Q6">
        <v>7</v>
      </c>
      <c r="R6">
        <v>2973.76</v>
      </c>
      <c r="S6" s="6">
        <v>0</v>
      </c>
      <c r="T6" s="6">
        <f t="shared" si="3"/>
        <v>0</v>
      </c>
      <c r="U6">
        <v>20816.32</v>
      </c>
      <c r="V6">
        <f t="shared" si="4"/>
        <v>20816.32</v>
      </c>
      <c r="W6" s="6">
        <f t="shared" si="5"/>
        <v>0</v>
      </c>
      <c r="X6">
        <v>17705.37</v>
      </c>
      <c r="Y6">
        <v>3110.95</v>
      </c>
      <c r="Z6">
        <f t="shared" si="6"/>
        <v>3110.9500000000007</v>
      </c>
      <c r="AA6" s="6">
        <f t="shared" si="7"/>
        <v>0</v>
      </c>
      <c r="AB6">
        <f t="shared" si="8"/>
        <v>0.14944764492475138</v>
      </c>
      <c r="AC6" t="s">
        <v>32</v>
      </c>
      <c r="AD6" t="s">
        <v>68</v>
      </c>
      <c r="AE6" t="s">
        <v>2826</v>
      </c>
      <c r="AF6" s="10" t="s">
        <v>2793</v>
      </c>
    </row>
    <row r="7" spans="1:32">
      <c r="A7" t="s">
        <v>69</v>
      </c>
      <c r="B7" s="3">
        <v>45436</v>
      </c>
      <c r="C7" t="str">
        <f t="shared" si="1"/>
        <v>May</v>
      </c>
      <c r="D7">
        <f t="shared" si="2"/>
        <v>2024</v>
      </c>
      <c r="E7" s="3">
        <v>45440</v>
      </c>
      <c r="F7">
        <f t="shared" si="0"/>
        <v>4</v>
      </c>
      <c r="G7" t="s">
        <v>70</v>
      </c>
      <c r="H7" t="s">
        <v>71</v>
      </c>
      <c r="I7" t="s">
        <v>37</v>
      </c>
      <c r="J7" t="s">
        <v>63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44</v>
      </c>
      <c r="Q7">
        <v>3</v>
      </c>
      <c r="R7">
        <v>1053.1099999999999</v>
      </c>
      <c r="S7" s="6">
        <v>0.2</v>
      </c>
      <c r="T7" s="6">
        <f t="shared" si="3"/>
        <v>0.2</v>
      </c>
      <c r="U7">
        <v>2527.46</v>
      </c>
      <c r="V7">
        <f t="shared" si="4"/>
        <v>2527.4639999999999</v>
      </c>
      <c r="W7" s="6">
        <f t="shared" si="5"/>
        <v>3.9999999999054126E-3</v>
      </c>
      <c r="X7">
        <v>1533.58</v>
      </c>
      <c r="Y7">
        <v>993.88</v>
      </c>
      <c r="Z7">
        <f t="shared" si="6"/>
        <v>993.88400000000001</v>
      </c>
      <c r="AA7" s="6">
        <f t="shared" si="7"/>
        <v>4.0000000000190994E-3</v>
      </c>
      <c r="AB7">
        <f t="shared" si="8"/>
        <v>0.39323369195367375</v>
      </c>
      <c r="AC7" t="s">
        <v>32</v>
      </c>
      <c r="AD7" t="s">
        <v>33</v>
      </c>
      <c r="AE7" t="s">
        <v>2828</v>
      </c>
    </row>
    <row r="8" spans="1:32">
      <c r="A8" t="s">
        <v>77</v>
      </c>
      <c r="B8" s="3">
        <v>45757</v>
      </c>
      <c r="C8" t="str">
        <f t="shared" si="1"/>
        <v>April</v>
      </c>
      <c r="D8">
        <f t="shared" si="2"/>
        <v>2025</v>
      </c>
      <c r="E8" s="3">
        <v>45763</v>
      </c>
      <c r="F8">
        <f t="shared" si="0"/>
        <v>6</v>
      </c>
      <c r="G8" t="s">
        <v>78</v>
      </c>
      <c r="H8" t="s">
        <v>79</v>
      </c>
      <c r="I8" t="s">
        <v>24</v>
      </c>
      <c r="J8" t="s">
        <v>38</v>
      </c>
      <c r="K8" t="s">
        <v>39</v>
      </c>
      <c r="L8" t="s">
        <v>40</v>
      </c>
      <c r="M8" t="s">
        <v>74</v>
      </c>
      <c r="N8" t="s">
        <v>80</v>
      </c>
      <c r="O8" t="s">
        <v>81</v>
      </c>
      <c r="P8" t="s">
        <v>59</v>
      </c>
      <c r="Q8">
        <v>4</v>
      </c>
      <c r="R8">
        <v>1719.87</v>
      </c>
      <c r="S8" s="6">
        <v>0.15</v>
      </c>
      <c r="T8" s="6">
        <f t="shared" si="3"/>
        <v>0.15</v>
      </c>
      <c r="U8">
        <v>5847.56</v>
      </c>
      <c r="V8">
        <f t="shared" si="4"/>
        <v>5847.5579999999991</v>
      </c>
      <c r="W8" s="6">
        <f t="shared" si="5"/>
        <v>-2.0000000013169483E-3</v>
      </c>
      <c r="X8">
        <v>4727.25</v>
      </c>
      <c r="Y8">
        <v>1120.31</v>
      </c>
      <c r="Z8">
        <f t="shared" si="6"/>
        <v>1120.3079999999991</v>
      </c>
      <c r="AA8" s="6">
        <f t="shared" si="7"/>
        <v>-2.000000000862201E-3</v>
      </c>
      <c r="AB8">
        <f t="shared" si="8"/>
        <v>0.19158561573908275</v>
      </c>
      <c r="AC8" t="s">
        <v>32</v>
      </c>
      <c r="AD8" t="s">
        <v>33</v>
      </c>
      <c r="AE8" t="s">
        <v>2828</v>
      </c>
    </row>
    <row r="9" spans="1:32">
      <c r="A9" t="s">
        <v>82</v>
      </c>
      <c r="B9" s="3">
        <v>45711</v>
      </c>
      <c r="C9" t="str">
        <f t="shared" si="1"/>
        <v>February</v>
      </c>
      <c r="D9">
        <f t="shared" si="2"/>
        <v>2025</v>
      </c>
      <c r="E9" s="3">
        <v>45714</v>
      </c>
      <c r="F9">
        <f t="shared" si="0"/>
        <v>3</v>
      </c>
      <c r="G9" t="s">
        <v>83</v>
      </c>
      <c r="H9" t="s">
        <v>47</v>
      </c>
      <c r="I9" t="s">
        <v>37</v>
      </c>
      <c r="J9" t="s">
        <v>54</v>
      </c>
      <c r="K9" t="s">
        <v>84</v>
      </c>
      <c r="L9" t="s">
        <v>85</v>
      </c>
      <c r="M9" t="s">
        <v>28</v>
      </c>
      <c r="N9" t="s">
        <v>48</v>
      </c>
      <c r="O9" t="s">
        <v>86</v>
      </c>
      <c r="P9" t="s">
        <v>50</v>
      </c>
      <c r="Q9">
        <v>1</v>
      </c>
      <c r="R9">
        <v>2980.71</v>
      </c>
      <c r="S9" s="6">
        <v>0</v>
      </c>
      <c r="T9" s="6">
        <f t="shared" si="3"/>
        <v>0</v>
      </c>
      <c r="U9">
        <v>2980.71</v>
      </c>
      <c r="V9">
        <f t="shared" si="4"/>
        <v>2980.71</v>
      </c>
      <c r="W9" s="6">
        <f t="shared" si="5"/>
        <v>0</v>
      </c>
      <c r="X9">
        <v>2357.2199999999998</v>
      </c>
      <c r="Y9">
        <v>623.49</v>
      </c>
      <c r="Z9">
        <f t="shared" si="6"/>
        <v>623.49000000000024</v>
      </c>
      <c r="AA9" s="6">
        <f t="shared" si="7"/>
        <v>0</v>
      </c>
      <c r="AB9">
        <f t="shared" si="8"/>
        <v>0.20917499521925992</v>
      </c>
      <c r="AC9" t="s">
        <v>32</v>
      </c>
      <c r="AD9" t="s">
        <v>33</v>
      </c>
      <c r="AE9" t="s">
        <v>2828</v>
      </c>
    </row>
    <row r="10" spans="1:32">
      <c r="A10" t="s">
        <v>87</v>
      </c>
      <c r="B10" s="3">
        <v>45601</v>
      </c>
      <c r="C10" t="str">
        <f t="shared" si="1"/>
        <v>November</v>
      </c>
      <c r="D10">
        <f t="shared" si="2"/>
        <v>2024</v>
      </c>
      <c r="E10" s="3">
        <v>45606</v>
      </c>
      <c r="F10">
        <f t="shared" si="0"/>
        <v>5</v>
      </c>
      <c r="G10" t="s">
        <v>88</v>
      </c>
      <c r="H10" t="s">
        <v>89</v>
      </c>
      <c r="I10" t="s">
        <v>90</v>
      </c>
      <c r="J10" t="s">
        <v>54</v>
      </c>
      <c r="K10" t="s">
        <v>55</v>
      </c>
      <c r="L10" t="s">
        <v>56</v>
      </c>
      <c r="M10" t="s">
        <v>28</v>
      </c>
      <c r="N10" t="s">
        <v>91</v>
      </c>
      <c r="O10" t="s">
        <v>92</v>
      </c>
      <c r="P10" t="s">
        <v>50</v>
      </c>
      <c r="Q10">
        <v>8</v>
      </c>
      <c r="R10">
        <v>3134.2</v>
      </c>
      <c r="S10" s="6">
        <v>0</v>
      </c>
      <c r="T10" s="6">
        <f t="shared" si="3"/>
        <v>0</v>
      </c>
      <c r="U10">
        <v>25073.599999999999</v>
      </c>
      <c r="V10">
        <f t="shared" si="4"/>
        <v>25073.599999999999</v>
      </c>
      <c r="W10" s="6">
        <f t="shared" si="5"/>
        <v>0</v>
      </c>
      <c r="X10">
        <v>17347.23</v>
      </c>
      <c r="Y10">
        <v>7726.37</v>
      </c>
      <c r="Z10">
        <f t="shared" si="6"/>
        <v>7726.369999999999</v>
      </c>
      <c r="AA10" s="6">
        <f t="shared" si="7"/>
        <v>0</v>
      </c>
      <c r="AB10">
        <f t="shared" si="8"/>
        <v>0.30814761342607361</v>
      </c>
      <c r="AC10" t="s">
        <v>32</v>
      </c>
      <c r="AD10" t="s">
        <v>33</v>
      </c>
      <c r="AE10" t="s">
        <v>2828</v>
      </c>
    </row>
    <row r="11" spans="1:32">
      <c r="A11" t="s">
        <v>93</v>
      </c>
      <c r="B11" s="3">
        <v>45847</v>
      </c>
      <c r="C11" t="str">
        <f t="shared" si="1"/>
        <v>July</v>
      </c>
      <c r="D11">
        <f t="shared" si="2"/>
        <v>2025</v>
      </c>
      <c r="E11" s="3">
        <v>45912</v>
      </c>
      <c r="F11">
        <f t="shared" si="0"/>
        <v>65</v>
      </c>
      <c r="G11" t="s">
        <v>94</v>
      </c>
      <c r="H11" t="s">
        <v>36</v>
      </c>
      <c r="I11" t="s">
        <v>95</v>
      </c>
      <c r="J11" t="s">
        <v>54</v>
      </c>
      <c r="K11" t="s">
        <v>55</v>
      </c>
      <c r="L11" t="s">
        <v>56</v>
      </c>
      <c r="M11" t="s">
        <v>28</v>
      </c>
      <c r="N11" t="s">
        <v>29</v>
      </c>
      <c r="O11" t="s">
        <v>96</v>
      </c>
      <c r="P11" t="s">
        <v>31</v>
      </c>
      <c r="Q11">
        <v>9</v>
      </c>
      <c r="R11">
        <v>852.04</v>
      </c>
      <c r="S11" s="6">
        <v>0.2</v>
      </c>
      <c r="T11" s="6">
        <f t="shared" si="3"/>
        <v>0.2</v>
      </c>
      <c r="U11">
        <v>6134.69</v>
      </c>
      <c r="V11">
        <f t="shared" si="4"/>
        <v>6134.6880000000001</v>
      </c>
      <c r="W11" s="6">
        <f t="shared" si="5"/>
        <v>-1.9999999994979589E-3</v>
      </c>
      <c r="X11">
        <v>3800.19</v>
      </c>
      <c r="Y11">
        <v>2334.5</v>
      </c>
      <c r="Z11">
        <f t="shared" si="6"/>
        <v>2334.498</v>
      </c>
      <c r="AA11" s="6">
        <f t="shared" si="7"/>
        <v>-1.9999999999527063E-3</v>
      </c>
      <c r="AB11">
        <f t="shared" si="8"/>
        <v>0.38054062407085737</v>
      </c>
      <c r="AC11" t="s">
        <v>32</v>
      </c>
      <c r="AD11" t="s">
        <v>33</v>
      </c>
      <c r="AE11" t="s">
        <v>2828</v>
      </c>
    </row>
    <row r="12" spans="1:32">
      <c r="A12" t="s">
        <v>97</v>
      </c>
      <c r="B12" s="3">
        <v>45797</v>
      </c>
      <c r="C12" t="str">
        <f t="shared" si="1"/>
        <v>May</v>
      </c>
      <c r="D12">
        <f t="shared" si="2"/>
        <v>2025</v>
      </c>
      <c r="E12" s="3">
        <v>45797</v>
      </c>
      <c r="F12">
        <f t="shared" si="0"/>
        <v>0</v>
      </c>
      <c r="G12" t="s">
        <v>98</v>
      </c>
      <c r="H12" t="s">
        <v>62</v>
      </c>
      <c r="I12" t="s">
        <v>90</v>
      </c>
      <c r="J12" t="s">
        <v>38</v>
      </c>
      <c r="K12" t="s">
        <v>99</v>
      </c>
      <c r="L12" t="s">
        <v>100</v>
      </c>
      <c r="M12" t="s">
        <v>28</v>
      </c>
      <c r="N12" t="s">
        <v>91</v>
      </c>
      <c r="O12" t="s">
        <v>101</v>
      </c>
      <c r="P12" t="s">
        <v>31</v>
      </c>
      <c r="Q12">
        <v>3</v>
      </c>
      <c r="R12">
        <v>3534.83</v>
      </c>
      <c r="S12" s="6">
        <v>0.05</v>
      </c>
      <c r="T12" s="6">
        <f t="shared" si="3"/>
        <v>0.05</v>
      </c>
      <c r="U12">
        <v>10074.27</v>
      </c>
      <c r="V12">
        <f t="shared" si="4"/>
        <v>10074.2655</v>
      </c>
      <c r="W12" s="6">
        <f t="shared" si="5"/>
        <v>-4.5000000009167707E-3</v>
      </c>
      <c r="X12">
        <v>6048.27</v>
      </c>
      <c r="Y12">
        <v>4026</v>
      </c>
      <c r="Z12">
        <f t="shared" si="6"/>
        <v>4025.9954999999991</v>
      </c>
      <c r="AA12" s="6">
        <f t="shared" si="7"/>
        <v>-4.5000000009167707E-3</v>
      </c>
      <c r="AB12">
        <f t="shared" si="8"/>
        <v>0.39963166545491574</v>
      </c>
      <c r="AC12" t="s">
        <v>102</v>
      </c>
      <c r="AD12" t="s">
        <v>103</v>
      </c>
      <c r="AE12" t="s">
        <v>2827</v>
      </c>
      <c r="AF12" t="s">
        <v>2807</v>
      </c>
    </row>
    <row r="13" spans="1:32">
      <c r="A13" t="s">
        <v>104</v>
      </c>
      <c r="B13" s="3">
        <v>45495</v>
      </c>
      <c r="C13" t="str">
        <f t="shared" si="1"/>
        <v>July</v>
      </c>
      <c r="D13">
        <f t="shared" si="2"/>
        <v>2024</v>
      </c>
      <c r="E13" s="3">
        <v>45496</v>
      </c>
      <c r="F13">
        <f t="shared" si="0"/>
        <v>1</v>
      </c>
      <c r="G13" t="s">
        <v>105</v>
      </c>
      <c r="H13" t="s">
        <v>71</v>
      </c>
      <c r="I13" t="s">
        <v>37</v>
      </c>
      <c r="J13" t="s">
        <v>38</v>
      </c>
      <c r="K13" t="s">
        <v>39</v>
      </c>
      <c r="L13" t="s">
        <v>40</v>
      </c>
      <c r="M13" t="s">
        <v>74</v>
      </c>
      <c r="N13" t="s">
        <v>75</v>
      </c>
      <c r="O13" t="s">
        <v>106</v>
      </c>
      <c r="P13" t="s">
        <v>44</v>
      </c>
      <c r="Q13">
        <v>6</v>
      </c>
      <c r="R13">
        <v>2005.95</v>
      </c>
      <c r="S13" s="6">
        <v>0.2</v>
      </c>
      <c r="T13" s="6">
        <f t="shared" si="3"/>
        <v>0.2</v>
      </c>
      <c r="U13">
        <v>9628.56</v>
      </c>
      <c r="V13">
        <f t="shared" si="4"/>
        <v>9628.5600000000013</v>
      </c>
      <c r="W13" s="6">
        <f t="shared" si="5"/>
        <v>0</v>
      </c>
      <c r="X13">
        <v>8038.59</v>
      </c>
      <c r="Y13">
        <v>1589.97</v>
      </c>
      <c r="Z13">
        <f t="shared" si="6"/>
        <v>1589.9700000000012</v>
      </c>
      <c r="AA13" s="6">
        <f t="shared" si="7"/>
        <v>0</v>
      </c>
      <c r="AB13">
        <f t="shared" si="8"/>
        <v>0.16513061143099289</v>
      </c>
      <c r="AC13" t="s">
        <v>32</v>
      </c>
      <c r="AD13" t="s">
        <v>33</v>
      </c>
      <c r="AE13" t="s">
        <v>2828</v>
      </c>
    </row>
    <row r="14" spans="1:32">
      <c r="A14" t="s">
        <v>107</v>
      </c>
      <c r="B14" s="3">
        <v>45646</v>
      </c>
      <c r="C14" t="str">
        <f t="shared" si="1"/>
        <v>December</v>
      </c>
      <c r="D14">
        <f t="shared" si="2"/>
        <v>2024</v>
      </c>
      <c r="E14" s="3">
        <v>45647</v>
      </c>
      <c r="F14">
        <f t="shared" si="0"/>
        <v>1</v>
      </c>
      <c r="G14" t="s">
        <v>108</v>
      </c>
      <c r="H14" t="s">
        <v>62</v>
      </c>
      <c r="I14" t="s">
        <v>90</v>
      </c>
      <c r="J14" t="s">
        <v>63</v>
      </c>
      <c r="K14" t="s">
        <v>26</v>
      </c>
      <c r="L14" t="s">
        <v>109</v>
      </c>
      <c r="M14" t="s">
        <v>28</v>
      </c>
      <c r="N14" t="s">
        <v>29</v>
      </c>
      <c r="O14" t="s">
        <v>110</v>
      </c>
      <c r="P14" t="s">
        <v>50</v>
      </c>
      <c r="Q14">
        <v>1</v>
      </c>
      <c r="R14">
        <v>702.14</v>
      </c>
      <c r="S14" s="6">
        <v>0.15</v>
      </c>
      <c r="T14" s="6">
        <f t="shared" si="3"/>
        <v>0.15</v>
      </c>
      <c r="U14">
        <v>596.82000000000005</v>
      </c>
      <c r="V14">
        <f t="shared" si="4"/>
        <v>596.81899999999996</v>
      </c>
      <c r="W14" s="6">
        <f t="shared" si="5"/>
        <v>-1.00000000009004E-3</v>
      </c>
      <c r="X14">
        <v>380.25</v>
      </c>
      <c r="Y14">
        <v>216.57</v>
      </c>
      <c r="Z14">
        <f t="shared" si="6"/>
        <v>216.56899999999996</v>
      </c>
      <c r="AA14" s="6">
        <f t="shared" si="7"/>
        <v>-1.0000000000331966E-3</v>
      </c>
      <c r="AB14">
        <f t="shared" si="8"/>
        <v>0.36287216057129545</v>
      </c>
      <c r="AC14" t="s">
        <v>111</v>
      </c>
      <c r="AD14" t="s">
        <v>103</v>
      </c>
      <c r="AE14" t="s">
        <v>2827</v>
      </c>
      <c r="AF14" t="s">
        <v>2814</v>
      </c>
    </row>
    <row r="15" spans="1:32">
      <c r="A15" t="s">
        <v>112</v>
      </c>
      <c r="B15" s="3">
        <v>46001</v>
      </c>
      <c r="C15" t="str">
        <f t="shared" si="1"/>
        <v>December</v>
      </c>
      <c r="D15">
        <f t="shared" si="2"/>
        <v>2025</v>
      </c>
      <c r="E15" s="3">
        <v>45946</v>
      </c>
      <c r="F15">
        <f t="shared" si="0"/>
        <v>-55</v>
      </c>
      <c r="G15" t="s">
        <v>113</v>
      </c>
      <c r="H15" t="s">
        <v>114</v>
      </c>
      <c r="I15" t="s">
        <v>37</v>
      </c>
      <c r="J15" t="s">
        <v>63</v>
      </c>
      <c r="K15" t="s">
        <v>64</v>
      </c>
      <c r="L15" t="s">
        <v>65</v>
      </c>
      <c r="M15" t="s">
        <v>28</v>
      </c>
      <c r="N15" t="s">
        <v>48</v>
      </c>
      <c r="O15" t="s">
        <v>115</v>
      </c>
      <c r="P15" t="s">
        <v>31</v>
      </c>
      <c r="Q15">
        <v>7</v>
      </c>
      <c r="R15">
        <v>3964.72</v>
      </c>
      <c r="S15" s="6">
        <v>0.05</v>
      </c>
      <c r="T15" s="6">
        <f t="shared" si="3"/>
        <v>0.05</v>
      </c>
      <c r="U15">
        <v>26365.39</v>
      </c>
      <c r="V15">
        <f t="shared" si="4"/>
        <v>26365.387999999995</v>
      </c>
      <c r="W15" s="6">
        <f t="shared" si="5"/>
        <v>-2.0000000040454324E-3</v>
      </c>
      <c r="X15">
        <v>22306.240000000002</v>
      </c>
      <c r="Y15">
        <v>4059.15</v>
      </c>
      <c r="Z15">
        <f t="shared" si="6"/>
        <v>4059.1479999999938</v>
      </c>
      <c r="AA15" s="6">
        <f t="shared" si="7"/>
        <v>-2.0000000063191692E-3</v>
      </c>
      <c r="AB15">
        <f t="shared" si="8"/>
        <v>0.15395745361304733</v>
      </c>
      <c r="AC15" t="s">
        <v>32</v>
      </c>
      <c r="AD15" t="s">
        <v>33</v>
      </c>
      <c r="AE15" t="s">
        <v>2826</v>
      </c>
      <c r="AF15" s="10" t="s">
        <v>2790</v>
      </c>
    </row>
    <row r="16" spans="1:32">
      <c r="A16" t="s">
        <v>116</v>
      </c>
      <c r="B16" s="3">
        <v>45653</v>
      </c>
      <c r="C16" t="str">
        <f t="shared" si="1"/>
        <v>December</v>
      </c>
      <c r="D16">
        <f t="shared" si="2"/>
        <v>2024</v>
      </c>
      <c r="E16" s="3">
        <v>45654</v>
      </c>
      <c r="F16">
        <f t="shared" si="0"/>
        <v>1</v>
      </c>
      <c r="G16" t="s">
        <v>117</v>
      </c>
      <c r="H16" t="s">
        <v>118</v>
      </c>
      <c r="I16" t="s">
        <v>24</v>
      </c>
      <c r="J16" t="s">
        <v>63</v>
      </c>
      <c r="K16" t="s">
        <v>26</v>
      </c>
      <c r="L16" t="s">
        <v>109</v>
      </c>
      <c r="M16" t="s">
        <v>74</v>
      </c>
      <c r="N16" t="s">
        <v>80</v>
      </c>
      <c r="O16" t="s">
        <v>119</v>
      </c>
      <c r="P16" t="s">
        <v>59</v>
      </c>
      <c r="Q16">
        <v>2</v>
      </c>
      <c r="R16">
        <v>2737.83</v>
      </c>
      <c r="S16" s="6">
        <v>0.25</v>
      </c>
      <c r="T16" s="6">
        <f t="shared" si="3"/>
        <v>0.25</v>
      </c>
      <c r="U16">
        <v>4106.74</v>
      </c>
      <c r="V16">
        <f t="shared" si="4"/>
        <v>4106.7449999999999</v>
      </c>
      <c r="W16" s="6">
        <f t="shared" si="5"/>
        <v>5.0000000001091394E-3</v>
      </c>
      <c r="X16">
        <v>2666.3</v>
      </c>
      <c r="Y16">
        <v>1440.44</v>
      </c>
      <c r="Z16">
        <f t="shared" si="6"/>
        <v>1440.4449999999997</v>
      </c>
      <c r="AA16" s="6">
        <f t="shared" si="7"/>
        <v>4.999999999654392E-3</v>
      </c>
      <c r="AB16">
        <f t="shared" si="8"/>
        <v>0.35075102057712365</v>
      </c>
      <c r="AC16" t="s">
        <v>32</v>
      </c>
      <c r="AD16" t="s">
        <v>33</v>
      </c>
      <c r="AE16" t="s">
        <v>2828</v>
      </c>
    </row>
    <row r="17" spans="1:32">
      <c r="A17" t="s">
        <v>120</v>
      </c>
      <c r="B17" s="3">
        <v>45482</v>
      </c>
      <c r="C17" t="str">
        <f t="shared" si="1"/>
        <v>July</v>
      </c>
      <c r="D17">
        <f t="shared" si="2"/>
        <v>2024</v>
      </c>
      <c r="E17" s="3">
        <v>45542</v>
      </c>
      <c r="F17">
        <f t="shared" si="0"/>
        <v>60</v>
      </c>
      <c r="G17" t="s">
        <v>121</v>
      </c>
      <c r="H17" t="s">
        <v>23</v>
      </c>
      <c r="I17" t="s">
        <v>37</v>
      </c>
      <c r="J17" t="s">
        <v>25</v>
      </c>
      <c r="K17" t="s">
        <v>122</v>
      </c>
      <c r="L17" t="s">
        <v>123</v>
      </c>
      <c r="M17" t="s">
        <v>28</v>
      </c>
      <c r="N17" t="s">
        <v>124</v>
      </c>
      <c r="O17" t="s">
        <v>125</v>
      </c>
      <c r="P17" t="s">
        <v>31</v>
      </c>
      <c r="Q17">
        <v>6</v>
      </c>
      <c r="R17">
        <v>3965.76</v>
      </c>
      <c r="S17" s="6">
        <v>0</v>
      </c>
      <c r="T17" s="6">
        <f t="shared" si="3"/>
        <v>0</v>
      </c>
      <c r="U17">
        <v>23794.560000000001</v>
      </c>
      <c r="V17">
        <f t="shared" si="4"/>
        <v>23794.560000000001</v>
      </c>
      <c r="W17" s="6">
        <f t="shared" si="5"/>
        <v>0</v>
      </c>
      <c r="X17">
        <v>15698.47</v>
      </c>
      <c r="Y17">
        <v>8096.09</v>
      </c>
      <c r="Z17">
        <f t="shared" si="6"/>
        <v>8096.090000000002</v>
      </c>
      <c r="AA17" s="6">
        <f t="shared" si="7"/>
        <v>0</v>
      </c>
      <c r="AB17">
        <f t="shared" si="8"/>
        <v>0.34024962008122872</v>
      </c>
      <c r="AC17" t="s">
        <v>32</v>
      </c>
      <c r="AD17" t="s">
        <v>33</v>
      </c>
      <c r="AE17" t="s">
        <v>2828</v>
      </c>
    </row>
    <row r="18" spans="1:32">
      <c r="A18" t="s">
        <v>126</v>
      </c>
      <c r="B18" s="3">
        <v>45420</v>
      </c>
      <c r="C18" t="str">
        <f t="shared" si="1"/>
        <v>May</v>
      </c>
      <c r="D18">
        <f t="shared" si="2"/>
        <v>2024</v>
      </c>
      <c r="E18" s="3">
        <v>45427</v>
      </c>
      <c r="F18">
        <f t="shared" si="0"/>
        <v>7</v>
      </c>
      <c r="G18" t="s">
        <v>127</v>
      </c>
      <c r="H18" t="s">
        <v>128</v>
      </c>
      <c r="I18" t="s">
        <v>24</v>
      </c>
      <c r="J18" t="s">
        <v>54</v>
      </c>
      <c r="K18" t="s">
        <v>55</v>
      </c>
      <c r="L18" t="s">
        <v>56</v>
      </c>
      <c r="M18" t="s">
        <v>28</v>
      </c>
      <c r="N18" t="s">
        <v>48</v>
      </c>
      <c r="O18" t="s">
        <v>129</v>
      </c>
      <c r="P18" t="s">
        <v>50</v>
      </c>
      <c r="Q18">
        <v>4</v>
      </c>
      <c r="R18">
        <v>3323.51</v>
      </c>
      <c r="S18" s="6">
        <v>0.25</v>
      </c>
      <c r="T18" s="6">
        <f t="shared" si="3"/>
        <v>0.25</v>
      </c>
      <c r="U18">
        <v>9970.5300000000007</v>
      </c>
      <c r="V18">
        <f t="shared" si="4"/>
        <v>9970.5300000000007</v>
      </c>
      <c r="W18" s="6">
        <f t="shared" si="5"/>
        <v>0</v>
      </c>
      <c r="X18">
        <v>5668.17</v>
      </c>
      <c r="Y18">
        <v>4302.3599999999997</v>
      </c>
      <c r="Z18">
        <f t="shared" si="6"/>
        <v>4302.3600000000006</v>
      </c>
      <c r="AA18" s="6">
        <f t="shared" si="7"/>
        <v>0</v>
      </c>
      <c r="AB18">
        <f t="shared" si="8"/>
        <v>0.43150765305354882</v>
      </c>
      <c r="AC18" t="s">
        <v>32</v>
      </c>
      <c r="AD18" t="s">
        <v>33</v>
      </c>
      <c r="AE18" t="s">
        <v>2828</v>
      </c>
    </row>
    <row r="19" spans="1:32">
      <c r="A19" t="s">
        <v>130</v>
      </c>
      <c r="B19" s="3">
        <v>45298</v>
      </c>
      <c r="C19" t="str">
        <f t="shared" si="1"/>
        <v>January</v>
      </c>
      <c r="D19">
        <f t="shared" si="2"/>
        <v>2024</v>
      </c>
      <c r="E19" s="3">
        <v>45505</v>
      </c>
      <c r="F19">
        <f t="shared" si="0"/>
        <v>207</v>
      </c>
      <c r="G19" t="s">
        <v>131</v>
      </c>
      <c r="H19" t="s">
        <v>132</v>
      </c>
      <c r="I19" t="s">
        <v>37</v>
      </c>
      <c r="J19" t="s">
        <v>25</v>
      </c>
      <c r="K19" t="s">
        <v>26</v>
      </c>
      <c r="L19" t="s">
        <v>27</v>
      </c>
      <c r="M19" t="s">
        <v>41</v>
      </c>
      <c r="N19" t="s">
        <v>57</v>
      </c>
      <c r="O19" t="s">
        <v>133</v>
      </c>
      <c r="P19" t="s">
        <v>44</v>
      </c>
      <c r="Q19">
        <v>5</v>
      </c>
      <c r="R19">
        <v>1526.78</v>
      </c>
      <c r="S19" s="6">
        <v>0</v>
      </c>
      <c r="T19" s="6">
        <f t="shared" si="3"/>
        <v>0</v>
      </c>
      <c r="U19">
        <v>7633.9</v>
      </c>
      <c r="V19">
        <f t="shared" si="4"/>
        <v>7633.9</v>
      </c>
      <c r="W19" s="6">
        <f t="shared" si="5"/>
        <v>0</v>
      </c>
      <c r="X19">
        <v>4706.91</v>
      </c>
      <c r="Y19">
        <v>2926.99</v>
      </c>
      <c r="Z19">
        <f t="shared" si="6"/>
        <v>2926.99</v>
      </c>
      <c r="AA19" s="6">
        <f t="shared" si="7"/>
        <v>0</v>
      </c>
      <c r="AB19">
        <f t="shared" si="8"/>
        <v>0.38342000812166782</v>
      </c>
      <c r="AC19" t="s">
        <v>32</v>
      </c>
      <c r="AD19" t="s">
        <v>33</v>
      </c>
      <c r="AE19" t="s">
        <v>2828</v>
      </c>
    </row>
    <row r="20" spans="1:32">
      <c r="A20" t="s">
        <v>134</v>
      </c>
      <c r="B20" s="3">
        <v>45853</v>
      </c>
      <c r="C20" t="str">
        <f t="shared" si="1"/>
        <v>July</v>
      </c>
      <c r="D20">
        <f t="shared" si="2"/>
        <v>2025</v>
      </c>
      <c r="E20" s="3">
        <v>45855</v>
      </c>
      <c r="F20">
        <f t="shared" si="0"/>
        <v>2</v>
      </c>
      <c r="G20" t="s">
        <v>135</v>
      </c>
      <c r="H20" t="s">
        <v>128</v>
      </c>
      <c r="I20" t="s">
        <v>95</v>
      </c>
      <c r="J20" t="s">
        <v>25</v>
      </c>
      <c r="K20" t="s">
        <v>136</v>
      </c>
      <c r="L20" t="s">
        <v>137</v>
      </c>
      <c r="M20" t="s">
        <v>74</v>
      </c>
      <c r="N20" t="s">
        <v>80</v>
      </c>
      <c r="O20" t="s">
        <v>138</v>
      </c>
      <c r="P20" t="s">
        <v>50</v>
      </c>
      <c r="Q20">
        <v>2</v>
      </c>
      <c r="R20">
        <v>1997.99</v>
      </c>
      <c r="S20" s="6">
        <v>0</v>
      </c>
      <c r="T20" s="6">
        <f t="shared" si="3"/>
        <v>0</v>
      </c>
      <c r="U20">
        <v>3995.98</v>
      </c>
      <c r="V20">
        <f t="shared" si="4"/>
        <v>3995.98</v>
      </c>
      <c r="W20" s="6">
        <f t="shared" si="5"/>
        <v>0</v>
      </c>
      <c r="X20">
        <v>2633.2</v>
      </c>
      <c r="Y20">
        <v>1362.78</v>
      </c>
      <c r="Z20">
        <f t="shared" si="6"/>
        <v>1362.7800000000002</v>
      </c>
      <c r="AA20" s="6">
        <f t="shared" si="7"/>
        <v>0</v>
      </c>
      <c r="AB20">
        <f t="shared" si="8"/>
        <v>0.34103774293164635</v>
      </c>
      <c r="AC20" t="s">
        <v>102</v>
      </c>
      <c r="AD20" t="s">
        <v>68</v>
      </c>
      <c r="AE20" t="s">
        <v>2827</v>
      </c>
      <c r="AF20" t="s">
        <v>2808</v>
      </c>
    </row>
    <row r="21" spans="1:32">
      <c r="A21" t="s">
        <v>139</v>
      </c>
      <c r="B21" s="3">
        <v>45500</v>
      </c>
      <c r="C21" t="str">
        <f t="shared" si="1"/>
        <v>July</v>
      </c>
      <c r="D21">
        <f t="shared" si="2"/>
        <v>2024</v>
      </c>
      <c r="E21" s="3">
        <v>45504</v>
      </c>
      <c r="F21">
        <f t="shared" si="0"/>
        <v>4</v>
      </c>
      <c r="G21" t="s">
        <v>140</v>
      </c>
      <c r="H21" t="s">
        <v>141</v>
      </c>
      <c r="I21" t="s">
        <v>95</v>
      </c>
      <c r="J21" t="s">
        <v>63</v>
      </c>
      <c r="K21" t="s">
        <v>72</v>
      </c>
      <c r="L21" t="s">
        <v>73</v>
      </c>
      <c r="M21" t="s">
        <v>28</v>
      </c>
      <c r="N21" t="s">
        <v>124</v>
      </c>
      <c r="O21" t="s">
        <v>142</v>
      </c>
      <c r="P21" t="s">
        <v>31</v>
      </c>
      <c r="Q21">
        <v>3</v>
      </c>
      <c r="R21">
        <v>3887.94</v>
      </c>
      <c r="S21" s="6">
        <v>-0.19</v>
      </c>
      <c r="T21" s="6">
        <f t="shared" si="3"/>
        <v>0.19</v>
      </c>
      <c r="U21">
        <v>9331.06</v>
      </c>
      <c r="V21">
        <f t="shared" si="4"/>
        <v>9447.6941999999999</v>
      </c>
      <c r="W21" s="6">
        <f t="shared" si="5"/>
        <v>116.63420000000042</v>
      </c>
      <c r="X21">
        <v>7529.31</v>
      </c>
      <c r="Y21">
        <v>1801.75</v>
      </c>
      <c r="Z21">
        <f t="shared" si="6"/>
        <v>1918.3841999999995</v>
      </c>
      <c r="AA21" s="6">
        <f t="shared" si="7"/>
        <v>116.63419999999951</v>
      </c>
      <c r="AB21">
        <f t="shared" si="8"/>
        <v>0.2030531640196398</v>
      </c>
      <c r="AC21" t="s">
        <v>32</v>
      </c>
      <c r="AD21" t="s">
        <v>33</v>
      </c>
      <c r="AE21" t="s">
        <v>2826</v>
      </c>
      <c r="AF21" s="10" t="s">
        <v>2791</v>
      </c>
    </row>
    <row r="22" spans="1:32">
      <c r="A22" t="s">
        <v>143</v>
      </c>
      <c r="B22" s="3">
        <v>45678</v>
      </c>
      <c r="C22" t="str">
        <f t="shared" si="1"/>
        <v>January</v>
      </c>
      <c r="D22">
        <f t="shared" si="2"/>
        <v>2025</v>
      </c>
      <c r="E22" s="3">
        <v>45680</v>
      </c>
      <c r="F22">
        <f t="shared" si="0"/>
        <v>2</v>
      </c>
      <c r="G22" t="s">
        <v>144</v>
      </c>
      <c r="H22" t="s">
        <v>89</v>
      </c>
      <c r="I22" t="s">
        <v>95</v>
      </c>
      <c r="J22" t="s">
        <v>38</v>
      </c>
      <c r="K22" t="s">
        <v>145</v>
      </c>
      <c r="L22" t="s">
        <v>146</v>
      </c>
      <c r="M22" t="s">
        <v>74</v>
      </c>
      <c r="N22" t="s">
        <v>80</v>
      </c>
      <c r="O22" t="s">
        <v>147</v>
      </c>
      <c r="P22" t="s">
        <v>50</v>
      </c>
      <c r="Q22">
        <v>5</v>
      </c>
      <c r="R22">
        <v>4373.0600000000004</v>
      </c>
      <c r="S22" s="6">
        <v>0.25</v>
      </c>
      <c r="T22" s="6">
        <f t="shared" si="3"/>
        <v>0.25</v>
      </c>
      <c r="U22">
        <v>16398.98</v>
      </c>
      <c r="V22">
        <f t="shared" si="4"/>
        <v>16398.975000000002</v>
      </c>
      <c r="W22" s="6">
        <f t="shared" si="5"/>
        <v>-4.9999999973806553E-3</v>
      </c>
      <c r="X22">
        <v>9556.52</v>
      </c>
      <c r="Y22">
        <v>6842.46</v>
      </c>
      <c r="Z22">
        <f t="shared" si="6"/>
        <v>6842.4550000000017</v>
      </c>
      <c r="AA22" s="6">
        <f t="shared" si="7"/>
        <v>-4.99999999829015E-3</v>
      </c>
      <c r="AB22">
        <f t="shared" si="8"/>
        <v>0.4172489439126531</v>
      </c>
      <c r="AC22" t="s">
        <v>32</v>
      </c>
      <c r="AD22" t="s">
        <v>33</v>
      </c>
      <c r="AE22" t="s">
        <v>2828</v>
      </c>
    </row>
    <row r="23" spans="1:32">
      <c r="A23" t="s">
        <v>148</v>
      </c>
      <c r="B23" s="3">
        <v>45681</v>
      </c>
      <c r="C23" t="str">
        <f t="shared" si="1"/>
        <v>January</v>
      </c>
      <c r="D23">
        <f t="shared" si="2"/>
        <v>2025</v>
      </c>
      <c r="E23" s="3">
        <v>45687</v>
      </c>
      <c r="F23">
        <f t="shared" si="0"/>
        <v>6</v>
      </c>
      <c r="G23" t="s">
        <v>149</v>
      </c>
      <c r="H23" t="s">
        <v>132</v>
      </c>
      <c r="I23" t="s">
        <v>24</v>
      </c>
      <c r="J23" t="s">
        <v>63</v>
      </c>
      <c r="K23" t="s">
        <v>72</v>
      </c>
      <c r="L23" t="s">
        <v>73</v>
      </c>
      <c r="M23" t="s">
        <v>41</v>
      </c>
      <c r="N23" t="s">
        <v>57</v>
      </c>
      <c r="O23" t="s">
        <v>150</v>
      </c>
      <c r="P23" t="s">
        <v>31</v>
      </c>
      <c r="Q23">
        <v>4</v>
      </c>
      <c r="R23">
        <v>697.69</v>
      </c>
      <c r="S23" s="6">
        <v>-0.23</v>
      </c>
      <c r="T23" s="6">
        <f t="shared" si="3"/>
        <v>0.23</v>
      </c>
      <c r="U23">
        <v>2790.76</v>
      </c>
      <c r="V23">
        <f t="shared" si="4"/>
        <v>2148.8852000000002</v>
      </c>
      <c r="W23" s="6">
        <f t="shared" si="5"/>
        <v>-641.87480000000005</v>
      </c>
      <c r="X23">
        <v>2037.71</v>
      </c>
      <c r="Y23">
        <v>753.05</v>
      </c>
      <c r="Z23">
        <f t="shared" si="6"/>
        <v>111.17520000000013</v>
      </c>
      <c r="AA23" s="6">
        <f t="shared" si="7"/>
        <v>-641.87479999999982</v>
      </c>
      <c r="AB23">
        <f t="shared" si="8"/>
        <v>5.1736221181103638E-2</v>
      </c>
      <c r="AC23" t="s">
        <v>32</v>
      </c>
      <c r="AD23" t="s">
        <v>33</v>
      </c>
      <c r="AE23" t="s">
        <v>2826</v>
      </c>
      <c r="AF23" s="10" t="s">
        <v>2791</v>
      </c>
    </row>
    <row r="24" spans="1:32">
      <c r="A24" t="s">
        <v>151</v>
      </c>
      <c r="B24" s="3">
        <v>45676</v>
      </c>
      <c r="C24" t="str">
        <f t="shared" si="1"/>
        <v>January</v>
      </c>
      <c r="D24">
        <f t="shared" si="2"/>
        <v>2025</v>
      </c>
      <c r="E24" s="3">
        <v>45678</v>
      </c>
      <c r="F24">
        <f t="shared" si="0"/>
        <v>2</v>
      </c>
      <c r="G24" t="s">
        <v>152</v>
      </c>
      <c r="H24" t="s">
        <v>36</v>
      </c>
      <c r="I24" t="s">
        <v>24</v>
      </c>
      <c r="J24" t="s">
        <v>54</v>
      </c>
      <c r="K24" t="s">
        <v>55</v>
      </c>
      <c r="L24" t="s">
        <v>56</v>
      </c>
      <c r="M24" t="s">
        <v>28</v>
      </c>
      <c r="N24" t="s">
        <v>153</v>
      </c>
      <c r="O24" t="s">
        <v>154</v>
      </c>
      <c r="P24" t="s">
        <v>59</v>
      </c>
      <c r="Q24">
        <v>8</v>
      </c>
      <c r="R24">
        <v>1219.3399999999999</v>
      </c>
      <c r="S24" s="6">
        <v>0.15</v>
      </c>
      <c r="T24" s="6">
        <f t="shared" si="3"/>
        <v>0.15</v>
      </c>
      <c r="U24">
        <v>8291.51</v>
      </c>
      <c r="V24">
        <f t="shared" si="4"/>
        <v>8291.5119999999988</v>
      </c>
      <c r="W24" s="6">
        <f t="shared" si="5"/>
        <v>1.9999999985884642E-3</v>
      </c>
      <c r="X24">
        <v>6685.03</v>
      </c>
      <c r="Y24">
        <v>1606.48</v>
      </c>
      <c r="Z24">
        <f t="shared" si="6"/>
        <v>1606.4819999999991</v>
      </c>
      <c r="AA24" s="6">
        <f t="shared" si="7"/>
        <v>1.9999999990432116E-3</v>
      </c>
      <c r="AB24">
        <f t="shared" si="8"/>
        <v>0.19375018693816029</v>
      </c>
      <c r="AC24" t="s">
        <v>155</v>
      </c>
      <c r="AD24" t="s">
        <v>103</v>
      </c>
      <c r="AE24" t="s">
        <v>2827</v>
      </c>
      <c r="AF24" s="10" t="s">
        <v>2821</v>
      </c>
    </row>
    <row r="25" spans="1:32">
      <c r="A25" t="s">
        <v>156</v>
      </c>
      <c r="B25" s="3">
        <v>45898</v>
      </c>
      <c r="C25" t="str">
        <f t="shared" si="1"/>
        <v>August</v>
      </c>
      <c r="D25">
        <f t="shared" si="2"/>
        <v>2025</v>
      </c>
      <c r="E25" s="3">
        <v>45900</v>
      </c>
      <c r="F25">
        <f t="shared" si="0"/>
        <v>2</v>
      </c>
      <c r="G25" t="s">
        <v>157</v>
      </c>
      <c r="H25" t="s">
        <v>118</v>
      </c>
      <c r="I25" t="s">
        <v>95</v>
      </c>
      <c r="J25" t="s">
        <v>38</v>
      </c>
      <c r="K25" t="s">
        <v>145</v>
      </c>
      <c r="L25" t="s">
        <v>146</v>
      </c>
      <c r="M25" t="s">
        <v>41</v>
      </c>
      <c r="N25" t="s">
        <v>158</v>
      </c>
      <c r="O25" t="s">
        <v>159</v>
      </c>
      <c r="P25" t="s">
        <v>50</v>
      </c>
      <c r="Q25">
        <v>4</v>
      </c>
      <c r="R25">
        <v>1958.01</v>
      </c>
      <c r="S25" s="6">
        <v>0.2</v>
      </c>
      <c r="T25" s="6">
        <f t="shared" si="3"/>
        <v>0.2</v>
      </c>
      <c r="U25">
        <v>6265.63</v>
      </c>
      <c r="V25">
        <f t="shared" si="4"/>
        <v>6265.6320000000005</v>
      </c>
      <c r="W25" s="6">
        <f t="shared" si="5"/>
        <v>2.0000000004074536E-3</v>
      </c>
      <c r="X25">
        <v>4321.8599999999997</v>
      </c>
      <c r="Y25">
        <v>1943.77</v>
      </c>
      <c r="Z25">
        <f t="shared" si="6"/>
        <v>1943.7720000000008</v>
      </c>
      <c r="AA25" s="6">
        <f t="shared" si="7"/>
        <v>2.000000000862201E-3</v>
      </c>
      <c r="AB25">
        <f t="shared" si="8"/>
        <v>0.31022760353624351</v>
      </c>
      <c r="AC25" t="s">
        <v>32</v>
      </c>
      <c r="AD25" t="s">
        <v>33</v>
      </c>
      <c r="AE25" t="s">
        <v>2828</v>
      </c>
    </row>
    <row r="26" spans="1:32">
      <c r="A26" t="s">
        <v>160</v>
      </c>
      <c r="B26" s="3">
        <v>45385</v>
      </c>
      <c r="C26" t="str">
        <f t="shared" si="1"/>
        <v>April</v>
      </c>
      <c r="D26">
        <f t="shared" si="2"/>
        <v>2024</v>
      </c>
      <c r="E26" s="3">
        <v>45352</v>
      </c>
      <c r="F26">
        <f t="shared" si="0"/>
        <v>-33</v>
      </c>
      <c r="G26" t="s">
        <v>161</v>
      </c>
      <c r="H26" t="s">
        <v>162</v>
      </c>
      <c r="I26" t="s">
        <v>24</v>
      </c>
      <c r="J26" t="s">
        <v>25</v>
      </c>
      <c r="K26" t="s">
        <v>122</v>
      </c>
      <c r="L26" t="s">
        <v>123</v>
      </c>
      <c r="M26" t="s">
        <v>28</v>
      </c>
      <c r="N26" t="s">
        <v>48</v>
      </c>
      <c r="O26" t="s">
        <v>163</v>
      </c>
      <c r="P26" t="s">
        <v>59</v>
      </c>
      <c r="Q26">
        <v>4</v>
      </c>
      <c r="R26">
        <v>4492.9399999999996</v>
      </c>
      <c r="S26" s="6">
        <v>0.25</v>
      </c>
      <c r="T26" s="6">
        <f t="shared" si="3"/>
        <v>0.25</v>
      </c>
      <c r="U26">
        <v>13478.82</v>
      </c>
      <c r="V26">
        <f t="shared" si="4"/>
        <v>13478.82</v>
      </c>
      <c r="W26" s="6">
        <f t="shared" si="5"/>
        <v>0</v>
      </c>
      <c r="X26">
        <v>10937.35</v>
      </c>
      <c r="Y26">
        <v>2541.4699999999998</v>
      </c>
      <c r="Z26">
        <f t="shared" si="6"/>
        <v>2541.4699999999993</v>
      </c>
      <c r="AA26" s="6">
        <f t="shared" si="7"/>
        <v>0</v>
      </c>
      <c r="AB26">
        <f t="shared" si="8"/>
        <v>0.18855285551702591</v>
      </c>
      <c r="AC26" t="s">
        <v>111</v>
      </c>
      <c r="AD26" t="s">
        <v>68</v>
      </c>
      <c r="AE26" t="s">
        <v>2826</v>
      </c>
      <c r="AF26" s="10" t="s">
        <v>2806</v>
      </c>
    </row>
    <row r="27" spans="1:32">
      <c r="A27" t="s">
        <v>164</v>
      </c>
      <c r="B27" s="3">
        <v>45606</v>
      </c>
      <c r="C27" t="str">
        <f t="shared" si="1"/>
        <v>November</v>
      </c>
      <c r="D27">
        <f t="shared" si="2"/>
        <v>2024</v>
      </c>
      <c r="E27" s="3">
        <v>45584</v>
      </c>
      <c r="F27">
        <f t="shared" si="0"/>
        <v>-22</v>
      </c>
      <c r="G27" t="s">
        <v>165</v>
      </c>
      <c r="H27" t="s">
        <v>53</v>
      </c>
      <c r="I27" t="s">
        <v>90</v>
      </c>
      <c r="J27" t="s">
        <v>38</v>
      </c>
      <c r="K27" t="s">
        <v>166</v>
      </c>
      <c r="L27" t="s">
        <v>167</v>
      </c>
      <c r="M27" t="s">
        <v>74</v>
      </c>
      <c r="N27" t="s">
        <v>75</v>
      </c>
      <c r="O27" t="s">
        <v>168</v>
      </c>
      <c r="P27" t="s">
        <v>50</v>
      </c>
      <c r="Q27">
        <v>2</v>
      </c>
      <c r="R27">
        <v>4315.2</v>
      </c>
      <c r="S27" s="6">
        <v>0.15</v>
      </c>
      <c r="T27" s="6">
        <f t="shared" si="3"/>
        <v>0.15</v>
      </c>
      <c r="U27">
        <v>7335.84</v>
      </c>
      <c r="V27">
        <f t="shared" si="4"/>
        <v>7335.8399999999992</v>
      </c>
      <c r="W27" s="6">
        <f t="shared" si="5"/>
        <v>0</v>
      </c>
      <c r="X27">
        <v>4968.41</v>
      </c>
      <c r="Y27">
        <v>2367.4299999999998</v>
      </c>
      <c r="Z27">
        <f t="shared" si="6"/>
        <v>2367.4299999999994</v>
      </c>
      <c r="AA27" s="6">
        <f t="shared" si="7"/>
        <v>0</v>
      </c>
      <c r="AB27">
        <f t="shared" si="8"/>
        <v>0.32272105171323251</v>
      </c>
      <c r="AC27" t="s">
        <v>32</v>
      </c>
      <c r="AD27" t="s">
        <v>33</v>
      </c>
      <c r="AE27" t="s">
        <v>2826</v>
      </c>
      <c r="AF27" s="10" t="s">
        <v>2790</v>
      </c>
    </row>
    <row r="28" spans="1:32">
      <c r="A28" t="s">
        <v>169</v>
      </c>
      <c r="B28" s="3">
        <v>45619</v>
      </c>
      <c r="C28" t="str">
        <f t="shared" si="1"/>
        <v>November</v>
      </c>
      <c r="D28">
        <f t="shared" si="2"/>
        <v>2024</v>
      </c>
      <c r="E28" s="3">
        <v>45619</v>
      </c>
      <c r="F28">
        <f t="shared" si="0"/>
        <v>0</v>
      </c>
      <c r="G28" t="s">
        <v>170</v>
      </c>
      <c r="H28" t="s">
        <v>162</v>
      </c>
      <c r="I28" t="s">
        <v>90</v>
      </c>
      <c r="J28" t="s">
        <v>25</v>
      </c>
      <c r="K28" t="s">
        <v>136</v>
      </c>
      <c r="L28" t="s">
        <v>137</v>
      </c>
      <c r="M28" t="s">
        <v>74</v>
      </c>
      <c r="N28" t="s">
        <v>171</v>
      </c>
      <c r="O28" t="s">
        <v>172</v>
      </c>
      <c r="P28" t="s">
        <v>59</v>
      </c>
      <c r="Q28">
        <v>4</v>
      </c>
      <c r="R28">
        <v>716.13</v>
      </c>
      <c r="S28" s="6">
        <v>0.1</v>
      </c>
      <c r="T28" s="6">
        <f t="shared" si="3"/>
        <v>0.1</v>
      </c>
      <c r="U28">
        <v>2578.0700000000002</v>
      </c>
      <c r="V28">
        <f t="shared" si="4"/>
        <v>2578.0680000000002</v>
      </c>
      <c r="W28" s="6">
        <f t="shared" si="5"/>
        <v>-1.9999999999527063E-3</v>
      </c>
      <c r="X28">
        <v>1527.55</v>
      </c>
      <c r="Y28">
        <v>1050.52</v>
      </c>
      <c r="Z28">
        <f t="shared" si="6"/>
        <v>1050.5180000000003</v>
      </c>
      <c r="AA28" s="6">
        <f t="shared" si="7"/>
        <v>-1.9999999997253326E-3</v>
      </c>
      <c r="AB28">
        <f t="shared" si="8"/>
        <v>0.40748265755596835</v>
      </c>
      <c r="AC28" t="s">
        <v>32</v>
      </c>
      <c r="AD28" t="s">
        <v>103</v>
      </c>
      <c r="AE28" t="s">
        <v>2827</v>
      </c>
      <c r="AF28" t="s">
        <v>103</v>
      </c>
    </row>
    <row r="29" spans="1:32">
      <c r="A29" t="s">
        <v>173</v>
      </c>
      <c r="B29" s="3">
        <v>45929</v>
      </c>
      <c r="C29" t="str">
        <f t="shared" si="1"/>
        <v>September</v>
      </c>
      <c r="D29">
        <f t="shared" si="2"/>
        <v>2025</v>
      </c>
      <c r="E29" s="3">
        <v>45787</v>
      </c>
      <c r="F29">
        <f t="shared" si="0"/>
        <v>-142</v>
      </c>
      <c r="G29" t="s">
        <v>174</v>
      </c>
      <c r="H29" t="s">
        <v>53</v>
      </c>
      <c r="I29" t="s">
        <v>37</v>
      </c>
      <c r="J29" t="s">
        <v>54</v>
      </c>
      <c r="K29" t="s">
        <v>175</v>
      </c>
      <c r="L29" t="s">
        <v>176</v>
      </c>
      <c r="M29" t="s">
        <v>28</v>
      </c>
      <c r="N29" t="s">
        <v>29</v>
      </c>
      <c r="O29" t="s">
        <v>177</v>
      </c>
      <c r="P29" t="s">
        <v>31</v>
      </c>
      <c r="Q29">
        <v>5</v>
      </c>
      <c r="R29">
        <v>1806.51</v>
      </c>
      <c r="S29" s="6">
        <v>0.25</v>
      </c>
      <c r="T29" s="6">
        <f t="shared" si="3"/>
        <v>0.25</v>
      </c>
      <c r="U29">
        <v>6774.41</v>
      </c>
      <c r="V29">
        <f t="shared" si="4"/>
        <v>6774.4124999999995</v>
      </c>
      <c r="W29" s="6">
        <f t="shared" si="5"/>
        <v>2.4999999995998223E-3</v>
      </c>
      <c r="X29">
        <v>4710.3599999999997</v>
      </c>
      <c r="Y29">
        <v>2064.0500000000002</v>
      </c>
      <c r="Z29">
        <f t="shared" si="6"/>
        <v>2064.0524999999998</v>
      </c>
      <c r="AA29" s="6">
        <f t="shared" si="7"/>
        <v>2.4999999995998223E-3</v>
      </c>
      <c r="AB29">
        <f t="shared" si="8"/>
        <v>0.30468361647596748</v>
      </c>
      <c r="AC29" t="s">
        <v>155</v>
      </c>
      <c r="AD29" t="s">
        <v>103</v>
      </c>
      <c r="AE29" t="s">
        <v>2826</v>
      </c>
      <c r="AF29" s="10" t="s">
        <v>2816</v>
      </c>
    </row>
    <row r="30" spans="1:32">
      <c r="A30" t="s">
        <v>178</v>
      </c>
      <c r="B30" s="3">
        <v>45606</v>
      </c>
      <c r="C30" t="str">
        <f t="shared" si="1"/>
        <v>November</v>
      </c>
      <c r="D30">
        <f t="shared" si="2"/>
        <v>2024</v>
      </c>
      <c r="E30" s="3">
        <v>45583</v>
      </c>
      <c r="F30">
        <f t="shared" si="0"/>
        <v>-23</v>
      </c>
      <c r="G30" t="s">
        <v>179</v>
      </c>
      <c r="H30" t="s">
        <v>62</v>
      </c>
      <c r="I30" t="s">
        <v>95</v>
      </c>
      <c r="J30" t="s">
        <v>63</v>
      </c>
      <c r="K30" t="s">
        <v>180</v>
      </c>
      <c r="L30" t="s">
        <v>181</v>
      </c>
      <c r="M30" t="s">
        <v>74</v>
      </c>
      <c r="N30" t="s">
        <v>171</v>
      </c>
      <c r="O30" t="s">
        <v>182</v>
      </c>
      <c r="P30" t="s">
        <v>31</v>
      </c>
      <c r="Q30">
        <v>2</v>
      </c>
      <c r="R30">
        <v>1942.22</v>
      </c>
      <c r="S30" s="6">
        <v>0.25</v>
      </c>
      <c r="T30" s="6">
        <f t="shared" si="3"/>
        <v>0.25</v>
      </c>
      <c r="U30">
        <v>2913.33</v>
      </c>
      <c r="V30">
        <f t="shared" si="4"/>
        <v>2913.33</v>
      </c>
      <c r="W30" s="6">
        <f t="shared" si="5"/>
        <v>0</v>
      </c>
      <c r="X30">
        <v>2122.33</v>
      </c>
      <c r="Y30">
        <v>791</v>
      </c>
      <c r="Z30">
        <f t="shared" si="6"/>
        <v>791</v>
      </c>
      <c r="AA30" s="6">
        <f t="shared" si="7"/>
        <v>0</v>
      </c>
      <c r="AB30">
        <f t="shared" si="8"/>
        <v>0.27151060813570727</v>
      </c>
      <c r="AC30" t="s">
        <v>102</v>
      </c>
      <c r="AD30" t="s">
        <v>68</v>
      </c>
      <c r="AE30" t="s">
        <v>2826</v>
      </c>
      <c r="AF30" s="10" t="s">
        <v>2813</v>
      </c>
    </row>
    <row r="31" spans="1:32">
      <c r="A31" t="s">
        <v>183</v>
      </c>
      <c r="B31" s="3">
        <v>45882</v>
      </c>
      <c r="C31" t="str">
        <f t="shared" si="1"/>
        <v>August</v>
      </c>
      <c r="D31">
        <f t="shared" si="2"/>
        <v>2025</v>
      </c>
      <c r="E31" s="3">
        <v>45882</v>
      </c>
      <c r="F31">
        <f t="shared" si="0"/>
        <v>0</v>
      </c>
      <c r="G31" t="s">
        <v>184</v>
      </c>
      <c r="H31" t="s">
        <v>141</v>
      </c>
      <c r="I31" t="s">
        <v>95</v>
      </c>
      <c r="J31" t="s">
        <v>54</v>
      </c>
      <c r="K31" t="s">
        <v>185</v>
      </c>
      <c r="L31" t="s">
        <v>186</v>
      </c>
      <c r="M31" t="s">
        <v>74</v>
      </c>
      <c r="N31" t="s">
        <v>171</v>
      </c>
      <c r="O31" t="s">
        <v>187</v>
      </c>
      <c r="P31" t="s">
        <v>59</v>
      </c>
      <c r="Q31">
        <v>1</v>
      </c>
      <c r="R31">
        <v>256.01</v>
      </c>
      <c r="S31" s="6">
        <v>0.15</v>
      </c>
      <c r="T31" s="6">
        <f t="shared" si="3"/>
        <v>0.15</v>
      </c>
      <c r="U31">
        <v>217.61</v>
      </c>
      <c r="V31">
        <f t="shared" si="4"/>
        <v>217.60849999999999</v>
      </c>
      <c r="W31" s="6">
        <f t="shared" si="5"/>
        <v>-1.5000000000213731E-3</v>
      </c>
      <c r="X31">
        <v>119.77</v>
      </c>
      <c r="Y31">
        <v>97.84</v>
      </c>
      <c r="Z31">
        <f t="shared" si="6"/>
        <v>97.838499999999996</v>
      </c>
      <c r="AA31" s="6">
        <f t="shared" si="7"/>
        <v>-1.5000000000071623E-3</v>
      </c>
      <c r="AB31">
        <f t="shared" si="8"/>
        <v>0.44960789675035673</v>
      </c>
      <c r="AC31" t="s">
        <v>32</v>
      </c>
      <c r="AD31" t="s">
        <v>33</v>
      </c>
      <c r="AE31" t="s">
        <v>2828</v>
      </c>
    </row>
    <row r="32" spans="1:32">
      <c r="A32" t="s">
        <v>188</v>
      </c>
      <c r="B32" s="3">
        <v>45537</v>
      </c>
      <c r="C32" t="str">
        <f t="shared" si="1"/>
        <v>September</v>
      </c>
      <c r="D32">
        <f t="shared" si="2"/>
        <v>2024</v>
      </c>
      <c r="E32" s="3">
        <v>45334</v>
      </c>
      <c r="F32">
        <f t="shared" si="0"/>
        <v>-203</v>
      </c>
      <c r="G32" t="s">
        <v>189</v>
      </c>
      <c r="H32" t="s">
        <v>62</v>
      </c>
      <c r="I32" t="s">
        <v>90</v>
      </c>
      <c r="J32" t="s">
        <v>63</v>
      </c>
      <c r="K32" t="s">
        <v>190</v>
      </c>
      <c r="L32" t="s">
        <v>191</v>
      </c>
      <c r="M32" t="s">
        <v>28</v>
      </c>
      <c r="N32" t="s">
        <v>91</v>
      </c>
      <c r="O32" t="s">
        <v>192</v>
      </c>
      <c r="P32" t="s">
        <v>50</v>
      </c>
      <c r="Q32">
        <v>1</v>
      </c>
      <c r="R32">
        <v>3421.77</v>
      </c>
      <c r="S32" s="6">
        <v>0.1</v>
      </c>
      <c r="T32" s="6">
        <f t="shared" si="3"/>
        <v>0.1</v>
      </c>
      <c r="U32">
        <v>3079.59</v>
      </c>
      <c r="V32">
        <f t="shared" si="4"/>
        <v>3079.5929999999998</v>
      </c>
      <c r="W32" s="6">
        <f t="shared" si="5"/>
        <v>2.9999999997016857E-3</v>
      </c>
      <c r="X32">
        <v>2001.89</v>
      </c>
      <c r="Y32">
        <v>1077.7</v>
      </c>
      <c r="Z32">
        <f t="shared" si="6"/>
        <v>1077.7029999999997</v>
      </c>
      <c r="AA32" s="6">
        <f t="shared" si="7"/>
        <v>2.9999999997016857E-3</v>
      </c>
      <c r="AB32">
        <f t="shared" si="8"/>
        <v>0.34994981479695525</v>
      </c>
      <c r="AC32" t="s">
        <v>32</v>
      </c>
      <c r="AD32" t="s">
        <v>33</v>
      </c>
      <c r="AE32" t="s">
        <v>2826</v>
      </c>
      <c r="AF32" s="10" t="s">
        <v>2790</v>
      </c>
    </row>
    <row r="33" spans="1:32">
      <c r="A33" t="s">
        <v>193</v>
      </c>
      <c r="B33" s="3">
        <v>45823</v>
      </c>
      <c r="C33" t="str">
        <f t="shared" si="1"/>
        <v>June</v>
      </c>
      <c r="D33">
        <f t="shared" si="2"/>
        <v>2025</v>
      </c>
      <c r="E33" s="3">
        <v>45827</v>
      </c>
      <c r="F33">
        <f t="shared" si="0"/>
        <v>4</v>
      </c>
      <c r="G33" t="s">
        <v>194</v>
      </c>
      <c r="H33" t="s">
        <v>23</v>
      </c>
      <c r="I33" t="s">
        <v>37</v>
      </c>
      <c r="J33" t="s">
        <v>63</v>
      </c>
      <c r="K33" t="s">
        <v>72</v>
      </c>
      <c r="L33" t="s">
        <v>73</v>
      </c>
      <c r="M33" t="s">
        <v>28</v>
      </c>
      <c r="N33" t="s">
        <v>29</v>
      </c>
      <c r="O33" t="s">
        <v>195</v>
      </c>
      <c r="P33" t="s">
        <v>31</v>
      </c>
      <c r="Q33">
        <v>9</v>
      </c>
      <c r="R33">
        <v>3092.55</v>
      </c>
      <c r="S33" s="6">
        <v>0</v>
      </c>
      <c r="T33" s="6">
        <f t="shared" si="3"/>
        <v>0</v>
      </c>
      <c r="U33">
        <v>27832.95</v>
      </c>
      <c r="V33">
        <f t="shared" si="4"/>
        <v>27832.95</v>
      </c>
      <c r="W33" s="6">
        <f t="shared" si="5"/>
        <v>0</v>
      </c>
      <c r="X33">
        <v>17769.75</v>
      </c>
      <c r="Y33">
        <v>10063.200000000001</v>
      </c>
      <c r="Z33">
        <f t="shared" si="6"/>
        <v>10063.200000000001</v>
      </c>
      <c r="AA33" s="6">
        <f t="shared" si="7"/>
        <v>0</v>
      </c>
      <c r="AB33">
        <f t="shared" si="8"/>
        <v>0.36155707533696574</v>
      </c>
      <c r="AC33" t="s">
        <v>155</v>
      </c>
      <c r="AD33" t="s">
        <v>103</v>
      </c>
      <c r="AE33" t="s">
        <v>2827</v>
      </c>
      <c r="AF33" s="10" t="s">
        <v>2821</v>
      </c>
    </row>
    <row r="34" spans="1:32">
      <c r="A34" t="s">
        <v>196</v>
      </c>
      <c r="B34" s="3">
        <v>45618</v>
      </c>
      <c r="C34" t="str">
        <f t="shared" si="1"/>
        <v>November</v>
      </c>
      <c r="D34">
        <f t="shared" si="2"/>
        <v>2024</v>
      </c>
      <c r="E34" s="3">
        <v>45622</v>
      </c>
      <c r="F34">
        <f t="shared" si="0"/>
        <v>4</v>
      </c>
      <c r="G34" t="s">
        <v>197</v>
      </c>
      <c r="H34" t="s">
        <v>128</v>
      </c>
      <c r="I34" t="s">
        <v>90</v>
      </c>
      <c r="J34" t="s">
        <v>54</v>
      </c>
      <c r="K34" t="s">
        <v>84</v>
      </c>
      <c r="L34" t="s">
        <v>85</v>
      </c>
      <c r="M34" t="s">
        <v>74</v>
      </c>
      <c r="N34" t="s">
        <v>171</v>
      </c>
      <c r="O34" t="s">
        <v>198</v>
      </c>
      <c r="P34" t="s">
        <v>31</v>
      </c>
      <c r="Q34">
        <v>3</v>
      </c>
      <c r="R34">
        <v>4001.25</v>
      </c>
      <c r="S34" s="6">
        <v>0</v>
      </c>
      <c r="T34" s="6">
        <f t="shared" si="3"/>
        <v>0</v>
      </c>
      <c r="U34">
        <v>9002.81</v>
      </c>
      <c r="V34">
        <f t="shared" si="4"/>
        <v>12003.75</v>
      </c>
      <c r="W34" s="6">
        <f t="shared" si="5"/>
        <v>3000.9400000000005</v>
      </c>
      <c r="X34">
        <v>7529.92</v>
      </c>
      <c r="Y34">
        <v>1472.89</v>
      </c>
      <c r="Z34">
        <f t="shared" si="6"/>
        <v>4473.83</v>
      </c>
      <c r="AA34" s="6">
        <f t="shared" si="7"/>
        <v>3000.9399999999996</v>
      </c>
      <c r="AB34">
        <f t="shared" si="8"/>
        <v>0.37270269707383108</v>
      </c>
      <c r="AC34" t="s">
        <v>32</v>
      </c>
      <c r="AD34" t="s">
        <v>33</v>
      </c>
      <c r="AE34" t="s">
        <v>2828</v>
      </c>
    </row>
    <row r="35" spans="1:32">
      <c r="A35" t="s">
        <v>199</v>
      </c>
      <c r="B35" s="3">
        <v>45495</v>
      </c>
      <c r="C35" t="str">
        <f t="shared" si="1"/>
        <v>July</v>
      </c>
      <c r="D35">
        <f t="shared" si="2"/>
        <v>2024</v>
      </c>
      <c r="E35" s="3">
        <v>45500</v>
      </c>
      <c r="F35">
        <f t="shared" si="0"/>
        <v>5</v>
      </c>
      <c r="G35" t="s">
        <v>200</v>
      </c>
      <c r="H35" t="s">
        <v>114</v>
      </c>
      <c r="I35" t="s">
        <v>95</v>
      </c>
      <c r="J35" t="s">
        <v>63</v>
      </c>
      <c r="K35" t="s">
        <v>190</v>
      </c>
      <c r="L35" t="s">
        <v>191</v>
      </c>
      <c r="M35" t="s">
        <v>41</v>
      </c>
      <c r="N35" t="s">
        <v>42</v>
      </c>
      <c r="O35" t="s">
        <v>201</v>
      </c>
      <c r="P35" t="s">
        <v>44</v>
      </c>
      <c r="Q35">
        <v>7</v>
      </c>
      <c r="R35">
        <v>492.41</v>
      </c>
      <c r="S35" s="6">
        <v>0.25</v>
      </c>
      <c r="T35" s="6">
        <f t="shared" si="3"/>
        <v>0.25</v>
      </c>
      <c r="U35">
        <v>2585.15</v>
      </c>
      <c r="V35">
        <f t="shared" si="4"/>
        <v>2585.1525000000001</v>
      </c>
      <c r="W35" s="6">
        <f t="shared" si="5"/>
        <v>2.5000000000545697E-3</v>
      </c>
      <c r="X35">
        <v>2070.73</v>
      </c>
      <c r="Y35">
        <v>514.41999999999996</v>
      </c>
      <c r="Z35">
        <f t="shared" si="6"/>
        <v>514.42250000000013</v>
      </c>
      <c r="AA35" s="6">
        <f t="shared" si="7"/>
        <v>2.5000000001682565E-3</v>
      </c>
      <c r="AB35">
        <f t="shared" si="8"/>
        <v>0.19899116203009304</v>
      </c>
      <c r="AC35" t="s">
        <v>32</v>
      </c>
      <c r="AD35" t="s">
        <v>33</v>
      </c>
      <c r="AE35" t="s">
        <v>2828</v>
      </c>
    </row>
    <row r="36" spans="1:32">
      <c r="A36" t="s">
        <v>202</v>
      </c>
      <c r="B36" s="3">
        <v>45688</v>
      </c>
      <c r="C36" t="str">
        <f t="shared" si="1"/>
        <v>January</v>
      </c>
      <c r="D36">
        <f t="shared" si="2"/>
        <v>2025</v>
      </c>
      <c r="E36" s="3">
        <v>45779</v>
      </c>
      <c r="F36">
        <f t="shared" si="0"/>
        <v>91</v>
      </c>
      <c r="G36" t="s">
        <v>203</v>
      </c>
      <c r="H36" t="s">
        <v>114</v>
      </c>
      <c r="I36" t="s">
        <v>95</v>
      </c>
      <c r="J36" t="s">
        <v>38</v>
      </c>
      <c r="K36" t="s">
        <v>99</v>
      </c>
      <c r="L36" t="s">
        <v>100</v>
      </c>
      <c r="M36" t="s">
        <v>41</v>
      </c>
      <c r="N36" t="s">
        <v>66</v>
      </c>
      <c r="O36" t="s">
        <v>204</v>
      </c>
      <c r="P36" t="s">
        <v>2781</v>
      </c>
      <c r="Q36">
        <v>2</v>
      </c>
      <c r="R36">
        <v>4159.6899999999996</v>
      </c>
      <c r="S36" s="6">
        <v>0.2</v>
      </c>
      <c r="T36" s="6">
        <f t="shared" si="3"/>
        <v>0.2</v>
      </c>
      <c r="U36">
        <v>6655.5</v>
      </c>
      <c r="V36">
        <f t="shared" si="4"/>
        <v>6655.5039999999999</v>
      </c>
      <c r="W36" s="6">
        <f t="shared" si="5"/>
        <v>3.9999999999054126E-3</v>
      </c>
      <c r="X36">
        <v>4340.21</v>
      </c>
      <c r="Y36">
        <v>2607.3200000000002</v>
      </c>
      <c r="Z36">
        <f t="shared" si="6"/>
        <v>2315.2939999999999</v>
      </c>
      <c r="AA36" s="6">
        <f t="shared" si="7"/>
        <v>-292.02600000000029</v>
      </c>
      <c r="AB36">
        <f t="shared" si="8"/>
        <v>0.34787658455317583</v>
      </c>
      <c r="AC36" t="s">
        <v>32</v>
      </c>
      <c r="AD36" t="s">
        <v>33</v>
      </c>
      <c r="AE36" t="s">
        <v>2827</v>
      </c>
      <c r="AF36" t="s">
        <v>2829</v>
      </c>
    </row>
    <row r="37" spans="1:32">
      <c r="A37" t="s">
        <v>205</v>
      </c>
      <c r="B37" s="3">
        <v>45441</v>
      </c>
      <c r="C37" t="str">
        <f t="shared" si="1"/>
        <v>May</v>
      </c>
      <c r="D37">
        <f t="shared" si="2"/>
        <v>2024</v>
      </c>
      <c r="E37" s="3">
        <v>45441</v>
      </c>
      <c r="F37">
        <f t="shared" si="0"/>
        <v>0</v>
      </c>
      <c r="G37" t="s">
        <v>206</v>
      </c>
      <c r="H37" t="s">
        <v>132</v>
      </c>
      <c r="I37" t="s">
        <v>37</v>
      </c>
      <c r="J37" t="s">
        <v>63</v>
      </c>
      <c r="K37" t="s">
        <v>180</v>
      </c>
      <c r="L37" t="s">
        <v>181</v>
      </c>
      <c r="M37" t="s">
        <v>41</v>
      </c>
      <c r="N37" t="s">
        <v>158</v>
      </c>
      <c r="O37" t="s">
        <v>207</v>
      </c>
      <c r="P37" t="s">
        <v>31</v>
      </c>
      <c r="Q37">
        <v>8</v>
      </c>
      <c r="R37">
        <v>2507.12</v>
      </c>
      <c r="S37" s="6">
        <v>0.05</v>
      </c>
      <c r="T37" s="6">
        <f t="shared" si="3"/>
        <v>0.05</v>
      </c>
      <c r="U37">
        <v>19054.11</v>
      </c>
      <c r="V37">
        <f t="shared" si="4"/>
        <v>19054.111999999997</v>
      </c>
      <c r="W37" s="6">
        <f t="shared" si="5"/>
        <v>1.9999999967694748E-3</v>
      </c>
      <c r="X37">
        <v>15313.83</v>
      </c>
      <c r="Y37">
        <v>3740.28</v>
      </c>
      <c r="Z37">
        <f t="shared" si="6"/>
        <v>3740.2819999999974</v>
      </c>
      <c r="AA37" s="6">
        <f t="shared" si="7"/>
        <v>1.9999999972242222E-3</v>
      </c>
      <c r="AB37">
        <f t="shared" si="8"/>
        <v>0.19629789097492437</v>
      </c>
      <c r="AC37" t="s">
        <v>111</v>
      </c>
      <c r="AD37" t="s">
        <v>103</v>
      </c>
      <c r="AE37" t="s">
        <v>2827</v>
      </c>
      <c r="AF37" t="s">
        <v>2814</v>
      </c>
    </row>
    <row r="38" spans="1:32">
      <c r="A38" t="s">
        <v>208</v>
      </c>
      <c r="B38" s="3">
        <v>45590</v>
      </c>
      <c r="C38" t="str">
        <f t="shared" si="1"/>
        <v>October</v>
      </c>
      <c r="D38">
        <f t="shared" si="2"/>
        <v>2024</v>
      </c>
      <c r="E38" s="3">
        <v>45593</v>
      </c>
      <c r="F38">
        <f t="shared" si="0"/>
        <v>3</v>
      </c>
      <c r="G38" t="s">
        <v>209</v>
      </c>
      <c r="H38" t="s">
        <v>141</v>
      </c>
      <c r="I38" t="s">
        <v>90</v>
      </c>
      <c r="J38" t="s">
        <v>63</v>
      </c>
      <c r="K38" t="s">
        <v>64</v>
      </c>
      <c r="L38" t="s">
        <v>65</v>
      </c>
      <c r="M38" t="s">
        <v>41</v>
      </c>
      <c r="N38" t="s">
        <v>158</v>
      </c>
      <c r="O38" t="s">
        <v>210</v>
      </c>
      <c r="P38" t="s">
        <v>31</v>
      </c>
      <c r="Q38">
        <v>3</v>
      </c>
      <c r="R38">
        <v>3126.47</v>
      </c>
      <c r="S38" s="6">
        <v>0</v>
      </c>
      <c r="T38" s="6">
        <f t="shared" si="3"/>
        <v>0</v>
      </c>
      <c r="U38">
        <v>9379.41</v>
      </c>
      <c r="V38">
        <f t="shared" si="4"/>
        <v>9379.41</v>
      </c>
      <c r="W38" s="6">
        <f t="shared" si="5"/>
        <v>0</v>
      </c>
      <c r="X38">
        <v>6670.85</v>
      </c>
      <c r="Y38">
        <v>2708.56</v>
      </c>
      <c r="Z38">
        <f t="shared" si="6"/>
        <v>2708.5599999999995</v>
      </c>
      <c r="AA38" s="6">
        <f t="shared" si="7"/>
        <v>0</v>
      </c>
      <c r="AB38">
        <f t="shared" si="8"/>
        <v>0.28877722585962223</v>
      </c>
      <c r="AC38" t="s">
        <v>32</v>
      </c>
      <c r="AD38" t="s">
        <v>103</v>
      </c>
      <c r="AE38" t="s">
        <v>2827</v>
      </c>
      <c r="AF38" t="s">
        <v>103</v>
      </c>
    </row>
    <row r="39" spans="1:32">
      <c r="A39" t="s">
        <v>211</v>
      </c>
      <c r="B39" s="3">
        <v>45867</v>
      </c>
      <c r="C39" t="str">
        <f t="shared" si="1"/>
        <v>July</v>
      </c>
      <c r="D39">
        <f t="shared" si="2"/>
        <v>2025</v>
      </c>
      <c r="E39" s="3">
        <v>45867</v>
      </c>
      <c r="F39">
        <f t="shared" si="0"/>
        <v>0</v>
      </c>
      <c r="G39" t="s">
        <v>212</v>
      </c>
      <c r="H39" t="s">
        <v>162</v>
      </c>
      <c r="I39" t="s">
        <v>24</v>
      </c>
      <c r="J39" t="s">
        <v>63</v>
      </c>
      <c r="K39" t="s">
        <v>64</v>
      </c>
      <c r="L39" t="s">
        <v>65</v>
      </c>
      <c r="M39" t="s">
        <v>74</v>
      </c>
      <c r="N39" t="s">
        <v>80</v>
      </c>
      <c r="O39" t="s">
        <v>213</v>
      </c>
      <c r="P39" t="s">
        <v>59</v>
      </c>
      <c r="Q39">
        <v>4</v>
      </c>
      <c r="R39">
        <v>1327.54</v>
      </c>
      <c r="S39" s="6">
        <v>0.2</v>
      </c>
      <c r="T39" s="6">
        <f t="shared" si="3"/>
        <v>0.2</v>
      </c>
      <c r="U39">
        <v>4248.13</v>
      </c>
      <c r="V39">
        <f t="shared" si="4"/>
        <v>4248.1279999999997</v>
      </c>
      <c r="W39" s="6">
        <f t="shared" si="5"/>
        <v>-2.0000000004074536E-3</v>
      </c>
      <c r="X39">
        <v>3321.09</v>
      </c>
      <c r="Y39">
        <v>927.04</v>
      </c>
      <c r="Z39">
        <f t="shared" si="6"/>
        <v>927.03799999999956</v>
      </c>
      <c r="AA39" s="6">
        <f t="shared" si="7"/>
        <v>-2.0000000004074536E-3</v>
      </c>
      <c r="AB39">
        <f t="shared" si="8"/>
        <v>0.21822270892025844</v>
      </c>
      <c r="AC39" t="s">
        <v>32</v>
      </c>
      <c r="AD39" t="s">
        <v>33</v>
      </c>
      <c r="AE39" t="s">
        <v>2828</v>
      </c>
    </row>
    <row r="40" spans="1:32">
      <c r="A40" t="s">
        <v>214</v>
      </c>
      <c r="B40" s="3">
        <v>45460</v>
      </c>
      <c r="C40" t="str">
        <f t="shared" si="1"/>
        <v>June</v>
      </c>
      <c r="D40">
        <f t="shared" si="2"/>
        <v>2024</v>
      </c>
      <c r="E40" s="3">
        <v>45465</v>
      </c>
      <c r="F40">
        <f t="shared" si="0"/>
        <v>5</v>
      </c>
      <c r="G40" t="s">
        <v>215</v>
      </c>
      <c r="H40" t="s">
        <v>128</v>
      </c>
      <c r="I40" t="s">
        <v>90</v>
      </c>
      <c r="J40" t="s">
        <v>63</v>
      </c>
      <c r="K40" t="s">
        <v>180</v>
      </c>
      <c r="L40" t="s">
        <v>181</v>
      </c>
      <c r="M40" t="s">
        <v>74</v>
      </c>
      <c r="N40" t="s">
        <v>171</v>
      </c>
      <c r="O40" t="s">
        <v>216</v>
      </c>
      <c r="P40" t="s">
        <v>50</v>
      </c>
      <c r="Q40">
        <v>7</v>
      </c>
      <c r="R40">
        <v>2210.6799999999998</v>
      </c>
      <c r="S40" s="6">
        <v>0.1</v>
      </c>
      <c r="T40" s="6">
        <f t="shared" si="3"/>
        <v>0.1</v>
      </c>
      <c r="U40">
        <v>13927.28</v>
      </c>
      <c r="V40">
        <f t="shared" si="4"/>
        <v>13927.284</v>
      </c>
      <c r="W40" s="6">
        <f t="shared" si="5"/>
        <v>3.9999999989959178E-3</v>
      </c>
      <c r="X40">
        <v>10504.87</v>
      </c>
      <c r="Y40">
        <v>3422.41</v>
      </c>
      <c r="Z40">
        <f t="shared" si="6"/>
        <v>3422.4139999999989</v>
      </c>
      <c r="AA40" s="6">
        <f t="shared" si="7"/>
        <v>3.9999999989959178E-3</v>
      </c>
      <c r="AB40">
        <f t="shared" si="8"/>
        <v>0.24573448778670692</v>
      </c>
      <c r="AC40" t="s">
        <v>32</v>
      </c>
      <c r="AD40" t="s">
        <v>33</v>
      </c>
      <c r="AE40" t="s">
        <v>2828</v>
      </c>
    </row>
    <row r="41" spans="1:32">
      <c r="A41" t="s">
        <v>217</v>
      </c>
      <c r="B41" s="3">
        <v>45637</v>
      </c>
      <c r="C41" t="str">
        <f t="shared" si="1"/>
        <v>December</v>
      </c>
      <c r="D41">
        <f t="shared" si="2"/>
        <v>2024</v>
      </c>
      <c r="E41" s="3">
        <v>45608</v>
      </c>
      <c r="F41">
        <f t="shared" si="0"/>
        <v>-29</v>
      </c>
      <c r="G41" t="s">
        <v>218</v>
      </c>
      <c r="H41" t="s">
        <v>36</v>
      </c>
      <c r="I41" t="s">
        <v>37</v>
      </c>
      <c r="J41" t="s">
        <v>63</v>
      </c>
      <c r="K41" t="s">
        <v>72</v>
      </c>
      <c r="L41" t="s">
        <v>73</v>
      </c>
      <c r="M41" t="s">
        <v>74</v>
      </c>
      <c r="N41" t="s">
        <v>80</v>
      </c>
      <c r="O41" t="s">
        <v>219</v>
      </c>
      <c r="P41" t="s">
        <v>50</v>
      </c>
      <c r="Q41">
        <v>4</v>
      </c>
      <c r="R41">
        <v>1370.92</v>
      </c>
      <c r="S41" s="6">
        <v>0.1</v>
      </c>
      <c r="T41" s="6">
        <f t="shared" si="3"/>
        <v>0.1</v>
      </c>
      <c r="U41">
        <v>4935.3100000000004</v>
      </c>
      <c r="V41">
        <f t="shared" si="4"/>
        <v>4935.3120000000008</v>
      </c>
      <c r="W41" s="6">
        <f t="shared" si="5"/>
        <v>2.0000000004074536E-3</v>
      </c>
      <c r="X41">
        <v>3374.77</v>
      </c>
      <c r="Y41">
        <v>1560.54</v>
      </c>
      <c r="Z41">
        <f t="shared" si="6"/>
        <v>1560.5420000000008</v>
      </c>
      <c r="AA41" s="6">
        <f t="shared" si="7"/>
        <v>2.000000000862201E-3</v>
      </c>
      <c r="AB41">
        <f t="shared" si="8"/>
        <v>0.31619925954022776</v>
      </c>
      <c r="AC41" t="s">
        <v>111</v>
      </c>
      <c r="AD41" t="s">
        <v>103</v>
      </c>
      <c r="AE41" t="s">
        <v>2826</v>
      </c>
      <c r="AF41" s="10" t="s">
        <v>2815</v>
      </c>
    </row>
    <row r="42" spans="1:32">
      <c r="A42" t="s">
        <v>220</v>
      </c>
      <c r="B42" s="3">
        <v>45575</v>
      </c>
      <c r="C42" t="str">
        <f t="shared" si="1"/>
        <v>October</v>
      </c>
      <c r="D42">
        <f t="shared" si="2"/>
        <v>2024</v>
      </c>
      <c r="E42" s="3">
        <v>45581</v>
      </c>
      <c r="F42">
        <f t="shared" si="0"/>
        <v>6</v>
      </c>
      <c r="G42" t="s">
        <v>221</v>
      </c>
      <c r="H42" t="s">
        <v>47</v>
      </c>
      <c r="I42" t="s">
        <v>95</v>
      </c>
      <c r="J42" t="s">
        <v>63</v>
      </c>
      <c r="K42" t="s">
        <v>26</v>
      </c>
      <c r="L42" t="s">
        <v>109</v>
      </c>
      <c r="M42" t="s">
        <v>74</v>
      </c>
      <c r="N42" t="s">
        <v>80</v>
      </c>
      <c r="O42" t="s">
        <v>222</v>
      </c>
      <c r="P42" t="s">
        <v>59</v>
      </c>
      <c r="Q42">
        <v>7</v>
      </c>
      <c r="R42">
        <v>2509.27</v>
      </c>
      <c r="S42" s="6">
        <v>0.2</v>
      </c>
      <c r="T42" s="6">
        <f t="shared" si="3"/>
        <v>0.2</v>
      </c>
      <c r="U42">
        <v>14051.91</v>
      </c>
      <c r="V42">
        <f t="shared" si="4"/>
        <v>14051.912</v>
      </c>
      <c r="W42" s="6">
        <f t="shared" si="5"/>
        <v>2.0000000004074536E-3</v>
      </c>
      <c r="X42">
        <v>11990.37</v>
      </c>
      <c r="Y42">
        <v>2061.54</v>
      </c>
      <c r="Z42">
        <f t="shared" si="6"/>
        <v>2061.5419999999995</v>
      </c>
      <c r="AA42" s="6">
        <f t="shared" si="7"/>
        <v>1.9999999994979589E-3</v>
      </c>
      <c r="AB42">
        <f t="shared" si="8"/>
        <v>0.14670900301681361</v>
      </c>
      <c r="AC42" t="s">
        <v>32</v>
      </c>
      <c r="AD42" t="s">
        <v>33</v>
      </c>
      <c r="AE42" t="s">
        <v>2828</v>
      </c>
    </row>
    <row r="43" spans="1:32">
      <c r="A43" t="s">
        <v>223</v>
      </c>
      <c r="B43" s="3">
        <v>45363</v>
      </c>
      <c r="C43" t="str">
        <f t="shared" si="1"/>
        <v>March</v>
      </c>
      <c r="D43">
        <f t="shared" si="2"/>
        <v>2024</v>
      </c>
      <c r="E43" s="3">
        <v>45368</v>
      </c>
      <c r="F43">
        <f t="shared" si="0"/>
        <v>5</v>
      </c>
      <c r="G43" t="s">
        <v>224</v>
      </c>
      <c r="H43" t="s">
        <v>128</v>
      </c>
      <c r="I43" t="s">
        <v>37</v>
      </c>
      <c r="J43" t="s">
        <v>38</v>
      </c>
      <c r="K43" t="s">
        <v>39</v>
      </c>
      <c r="L43" t="s">
        <v>40</v>
      </c>
      <c r="M43" t="s">
        <v>41</v>
      </c>
      <c r="N43" t="s">
        <v>158</v>
      </c>
      <c r="O43" t="s">
        <v>225</v>
      </c>
      <c r="P43" t="s">
        <v>44</v>
      </c>
      <c r="Q43">
        <v>8</v>
      </c>
      <c r="R43">
        <v>855.81</v>
      </c>
      <c r="S43" s="6">
        <v>0</v>
      </c>
      <c r="T43" s="6">
        <f t="shared" si="3"/>
        <v>0</v>
      </c>
      <c r="U43">
        <v>6846.48</v>
      </c>
      <c r="V43">
        <f t="shared" si="4"/>
        <v>6846.48</v>
      </c>
      <c r="W43" s="6">
        <f t="shared" si="5"/>
        <v>0</v>
      </c>
      <c r="X43">
        <v>4239.8900000000003</v>
      </c>
      <c r="Y43">
        <v>2606.59</v>
      </c>
      <c r="Z43">
        <f t="shared" si="6"/>
        <v>2606.5899999999992</v>
      </c>
      <c r="AA43" s="6">
        <f t="shared" si="7"/>
        <v>0</v>
      </c>
      <c r="AB43">
        <f t="shared" si="8"/>
        <v>0.38071972750961069</v>
      </c>
      <c r="AC43" t="s">
        <v>111</v>
      </c>
      <c r="AD43" t="s">
        <v>68</v>
      </c>
      <c r="AE43" t="s">
        <v>2827</v>
      </c>
      <c r="AF43" t="s">
        <v>2804</v>
      </c>
    </row>
    <row r="44" spans="1:32">
      <c r="A44" t="s">
        <v>226</v>
      </c>
      <c r="B44" s="3">
        <v>45940</v>
      </c>
      <c r="C44" t="str">
        <f t="shared" si="1"/>
        <v>October</v>
      </c>
      <c r="D44">
        <f t="shared" si="2"/>
        <v>2025</v>
      </c>
      <c r="E44" s="3">
        <v>45945</v>
      </c>
      <c r="F44">
        <f t="shared" si="0"/>
        <v>5</v>
      </c>
      <c r="G44" t="s">
        <v>227</v>
      </c>
      <c r="H44" t="s">
        <v>53</v>
      </c>
      <c r="I44" t="s">
        <v>90</v>
      </c>
      <c r="J44" t="s">
        <v>38</v>
      </c>
      <c r="K44" t="s">
        <v>228</v>
      </c>
      <c r="L44" t="s">
        <v>229</v>
      </c>
      <c r="M44" t="s">
        <v>74</v>
      </c>
      <c r="N44" t="s">
        <v>171</v>
      </c>
      <c r="O44" t="s">
        <v>230</v>
      </c>
      <c r="P44" t="s">
        <v>59</v>
      </c>
      <c r="Q44">
        <v>8</v>
      </c>
      <c r="R44">
        <v>979.87</v>
      </c>
      <c r="S44" s="6">
        <v>0.05</v>
      </c>
      <c r="T44" s="6">
        <f t="shared" si="3"/>
        <v>0.05</v>
      </c>
      <c r="U44">
        <v>7447.01</v>
      </c>
      <c r="V44">
        <f t="shared" si="4"/>
        <v>7447.0119999999997</v>
      </c>
      <c r="W44" s="6">
        <f t="shared" si="5"/>
        <v>1.9999999994979589E-3</v>
      </c>
      <c r="X44">
        <v>4496.22</v>
      </c>
      <c r="Y44">
        <v>2950.79</v>
      </c>
      <c r="Z44">
        <f t="shared" si="6"/>
        <v>2950.7919999999995</v>
      </c>
      <c r="AA44" s="6">
        <f t="shared" si="7"/>
        <v>1.9999999994979589E-3</v>
      </c>
      <c r="AB44">
        <f t="shared" si="8"/>
        <v>0.39623838393170302</v>
      </c>
      <c r="AC44" t="s">
        <v>32</v>
      </c>
      <c r="AD44" t="s">
        <v>33</v>
      </c>
      <c r="AE44" t="s">
        <v>2828</v>
      </c>
    </row>
    <row r="45" spans="1:32">
      <c r="A45" t="s">
        <v>231</v>
      </c>
      <c r="B45" s="3">
        <v>45481</v>
      </c>
      <c r="C45" t="str">
        <f t="shared" si="1"/>
        <v>July</v>
      </c>
      <c r="D45">
        <f t="shared" si="2"/>
        <v>2024</v>
      </c>
      <c r="E45" s="3">
        <v>45487</v>
      </c>
      <c r="F45">
        <f t="shared" si="0"/>
        <v>6</v>
      </c>
      <c r="G45" t="s">
        <v>232</v>
      </c>
      <c r="H45" t="s">
        <v>114</v>
      </c>
      <c r="I45" t="s">
        <v>37</v>
      </c>
      <c r="J45" t="s">
        <v>38</v>
      </c>
      <c r="K45" t="s">
        <v>39</v>
      </c>
      <c r="L45" t="s">
        <v>40</v>
      </c>
      <c r="M45" t="s">
        <v>41</v>
      </c>
      <c r="N45" t="s">
        <v>57</v>
      </c>
      <c r="O45" t="s">
        <v>233</v>
      </c>
      <c r="P45" t="s">
        <v>44</v>
      </c>
      <c r="Q45">
        <v>3</v>
      </c>
      <c r="R45">
        <v>1010.23</v>
      </c>
      <c r="S45" s="6">
        <v>0</v>
      </c>
      <c r="T45" s="6">
        <f t="shared" si="3"/>
        <v>0</v>
      </c>
      <c r="U45">
        <v>3030.69</v>
      </c>
      <c r="V45">
        <f t="shared" si="4"/>
        <v>3030.69</v>
      </c>
      <c r="W45" s="6">
        <f t="shared" si="5"/>
        <v>0</v>
      </c>
      <c r="X45">
        <v>1721.08</v>
      </c>
      <c r="Y45">
        <v>1309.6099999999999</v>
      </c>
      <c r="Z45">
        <f t="shared" si="6"/>
        <v>1309.6100000000001</v>
      </c>
      <c r="AA45" s="6">
        <f t="shared" si="7"/>
        <v>0</v>
      </c>
      <c r="AB45">
        <f t="shared" si="8"/>
        <v>0.43211611877163292</v>
      </c>
      <c r="AC45" t="s">
        <v>32</v>
      </c>
      <c r="AD45" t="s">
        <v>33</v>
      </c>
      <c r="AE45" t="s">
        <v>2828</v>
      </c>
    </row>
    <row r="46" spans="1:32">
      <c r="A46" t="s">
        <v>234</v>
      </c>
      <c r="B46" s="3">
        <v>45465</v>
      </c>
      <c r="C46" t="str">
        <f t="shared" si="1"/>
        <v>June</v>
      </c>
      <c r="D46">
        <f t="shared" si="2"/>
        <v>2024</v>
      </c>
      <c r="E46" s="3">
        <v>45468</v>
      </c>
      <c r="F46">
        <f t="shared" si="0"/>
        <v>3</v>
      </c>
      <c r="G46" t="s">
        <v>235</v>
      </c>
      <c r="H46" t="s">
        <v>141</v>
      </c>
      <c r="I46" t="s">
        <v>37</v>
      </c>
      <c r="J46" t="s">
        <v>25</v>
      </c>
      <c r="K46" t="s">
        <v>236</v>
      </c>
      <c r="L46" t="s">
        <v>237</v>
      </c>
      <c r="M46" t="s">
        <v>41</v>
      </c>
      <c r="N46" t="s">
        <v>66</v>
      </c>
      <c r="O46" t="s">
        <v>238</v>
      </c>
      <c r="P46" t="s">
        <v>59</v>
      </c>
      <c r="Q46">
        <v>9</v>
      </c>
      <c r="R46">
        <v>3329.77</v>
      </c>
      <c r="S46" s="6">
        <v>0.1</v>
      </c>
      <c r="T46" s="6">
        <f t="shared" si="3"/>
        <v>0.1</v>
      </c>
      <c r="U46">
        <v>26971.14</v>
      </c>
      <c r="V46">
        <f t="shared" si="4"/>
        <v>26971.137000000002</v>
      </c>
      <c r="W46" s="6">
        <f t="shared" si="5"/>
        <v>-2.9999999969732016E-3</v>
      </c>
      <c r="X46">
        <v>17376.2</v>
      </c>
      <c r="Y46">
        <v>9594.94</v>
      </c>
      <c r="Z46">
        <f t="shared" si="6"/>
        <v>9594.9370000000017</v>
      </c>
      <c r="AA46" s="6">
        <f t="shared" si="7"/>
        <v>-2.999999998792191E-3</v>
      </c>
      <c r="AB46">
        <f t="shared" si="8"/>
        <v>0.35574833200394929</v>
      </c>
      <c r="AC46" t="s">
        <v>32</v>
      </c>
      <c r="AD46" t="s">
        <v>33</v>
      </c>
      <c r="AE46" t="s">
        <v>2828</v>
      </c>
    </row>
    <row r="47" spans="1:32">
      <c r="A47" t="s">
        <v>239</v>
      </c>
      <c r="B47" s="3">
        <v>45309</v>
      </c>
      <c r="C47" t="str">
        <f t="shared" si="1"/>
        <v>January</v>
      </c>
      <c r="D47">
        <f t="shared" si="2"/>
        <v>2024</v>
      </c>
      <c r="E47" s="3">
        <v>45315</v>
      </c>
      <c r="F47">
        <f t="shared" si="0"/>
        <v>6</v>
      </c>
      <c r="G47" t="s">
        <v>240</v>
      </c>
      <c r="H47" t="s">
        <v>47</v>
      </c>
      <c r="I47" t="s">
        <v>95</v>
      </c>
      <c r="J47" t="s">
        <v>38</v>
      </c>
      <c r="K47" t="s">
        <v>145</v>
      </c>
      <c r="L47" t="s">
        <v>146</v>
      </c>
      <c r="M47" t="s">
        <v>28</v>
      </c>
      <c r="N47" t="s">
        <v>48</v>
      </c>
      <c r="O47" t="s">
        <v>241</v>
      </c>
      <c r="P47" t="s">
        <v>31</v>
      </c>
      <c r="Q47">
        <v>8</v>
      </c>
      <c r="R47">
        <v>3927.82</v>
      </c>
      <c r="S47" s="6">
        <v>0.05</v>
      </c>
      <c r="T47" s="6">
        <f t="shared" si="3"/>
        <v>0.05</v>
      </c>
      <c r="U47">
        <v>29851.43</v>
      </c>
      <c r="V47">
        <f t="shared" si="4"/>
        <v>29851.432000000001</v>
      </c>
      <c r="W47" s="6">
        <f t="shared" si="5"/>
        <v>2.0000000004074536E-3</v>
      </c>
      <c r="X47">
        <v>17487.48</v>
      </c>
      <c r="Y47">
        <v>12363.95</v>
      </c>
      <c r="Z47">
        <f t="shared" si="6"/>
        <v>12363.952000000001</v>
      </c>
      <c r="AA47" s="6">
        <f t="shared" si="7"/>
        <v>2.0000000004074536E-3</v>
      </c>
      <c r="AB47">
        <f t="shared" si="8"/>
        <v>0.41418287739094062</v>
      </c>
      <c r="AC47" t="s">
        <v>111</v>
      </c>
      <c r="AD47" t="s">
        <v>103</v>
      </c>
      <c r="AE47" t="s">
        <v>2827</v>
      </c>
      <c r="AF47" t="s">
        <v>2814</v>
      </c>
    </row>
    <row r="48" spans="1:32">
      <c r="A48" t="s">
        <v>242</v>
      </c>
      <c r="B48" s="3">
        <v>45492</v>
      </c>
      <c r="C48" t="str">
        <f t="shared" si="1"/>
        <v>July</v>
      </c>
      <c r="D48">
        <f t="shared" si="2"/>
        <v>2024</v>
      </c>
      <c r="E48" s="3">
        <v>45492</v>
      </c>
      <c r="F48">
        <f t="shared" si="0"/>
        <v>0</v>
      </c>
      <c r="G48" t="s">
        <v>243</v>
      </c>
      <c r="H48" t="s">
        <v>62</v>
      </c>
      <c r="I48" t="s">
        <v>37</v>
      </c>
      <c r="J48" t="s">
        <v>54</v>
      </c>
      <c r="K48" t="s">
        <v>185</v>
      </c>
      <c r="L48" t="s">
        <v>186</v>
      </c>
      <c r="M48" t="s">
        <v>41</v>
      </c>
      <c r="N48" t="s">
        <v>158</v>
      </c>
      <c r="O48" t="s">
        <v>244</v>
      </c>
      <c r="P48" t="s">
        <v>59</v>
      </c>
      <c r="Q48">
        <v>9</v>
      </c>
      <c r="R48">
        <v>2386.79</v>
      </c>
      <c r="S48" s="6">
        <v>0.25</v>
      </c>
      <c r="T48" s="6">
        <f t="shared" si="3"/>
        <v>0.25</v>
      </c>
      <c r="U48">
        <v>16110.83</v>
      </c>
      <c r="V48">
        <f t="shared" si="4"/>
        <v>16110.8325</v>
      </c>
      <c r="W48" s="6">
        <f t="shared" si="5"/>
        <v>2.500000000509317E-3</v>
      </c>
      <c r="X48">
        <v>10680.03</v>
      </c>
      <c r="Y48">
        <v>5430.8</v>
      </c>
      <c r="Z48">
        <f t="shared" si="6"/>
        <v>5430.8024999999998</v>
      </c>
      <c r="AA48" s="6">
        <f t="shared" si="7"/>
        <v>2.4999999995998223E-3</v>
      </c>
      <c r="AB48">
        <f t="shared" si="8"/>
        <v>0.33709012243780695</v>
      </c>
      <c r="AC48" t="s">
        <v>102</v>
      </c>
      <c r="AD48" t="s">
        <v>103</v>
      </c>
      <c r="AE48" t="s">
        <v>2827</v>
      </c>
      <c r="AF48" t="s">
        <v>2807</v>
      </c>
    </row>
    <row r="49" spans="1:32">
      <c r="A49" t="s">
        <v>245</v>
      </c>
      <c r="B49" s="3">
        <v>45634</v>
      </c>
      <c r="C49" t="str">
        <f t="shared" si="1"/>
        <v>December</v>
      </c>
      <c r="D49">
        <f t="shared" si="2"/>
        <v>2024</v>
      </c>
      <c r="E49" s="3">
        <v>45634</v>
      </c>
      <c r="F49">
        <f t="shared" si="0"/>
        <v>0</v>
      </c>
      <c r="G49" t="s">
        <v>246</v>
      </c>
      <c r="H49" t="s">
        <v>118</v>
      </c>
      <c r="I49" t="s">
        <v>90</v>
      </c>
      <c r="J49" t="s">
        <v>54</v>
      </c>
      <c r="K49" t="s">
        <v>247</v>
      </c>
      <c r="L49" t="s">
        <v>248</v>
      </c>
      <c r="M49" t="s">
        <v>28</v>
      </c>
      <c r="N49" t="s">
        <v>124</v>
      </c>
      <c r="O49" t="s">
        <v>249</v>
      </c>
      <c r="P49" t="s">
        <v>59</v>
      </c>
      <c r="Q49">
        <v>8</v>
      </c>
      <c r="R49">
        <v>2445.31</v>
      </c>
      <c r="S49" s="6">
        <v>0.1</v>
      </c>
      <c r="T49" s="6">
        <f t="shared" si="3"/>
        <v>0.1</v>
      </c>
      <c r="U49">
        <v>17606.23</v>
      </c>
      <c r="V49">
        <f t="shared" si="4"/>
        <v>17606.232</v>
      </c>
      <c r="W49" s="6">
        <f t="shared" si="5"/>
        <v>2.0000000004074536E-3</v>
      </c>
      <c r="X49">
        <v>12438.96</v>
      </c>
      <c r="Y49">
        <v>5167.2700000000004</v>
      </c>
      <c r="Z49">
        <f t="shared" si="6"/>
        <v>5167.2720000000008</v>
      </c>
      <c r="AA49" s="6">
        <f t="shared" si="7"/>
        <v>2.0000000004074536E-3</v>
      </c>
      <c r="AB49">
        <f t="shared" si="8"/>
        <v>0.29349107747756592</v>
      </c>
      <c r="AC49" t="s">
        <v>32</v>
      </c>
      <c r="AD49" t="s">
        <v>33</v>
      </c>
      <c r="AE49" t="s">
        <v>2828</v>
      </c>
    </row>
    <row r="50" spans="1:32">
      <c r="A50" t="s">
        <v>250</v>
      </c>
      <c r="B50" s="3">
        <v>45687</v>
      </c>
      <c r="C50" t="str">
        <f t="shared" si="1"/>
        <v>January</v>
      </c>
      <c r="D50">
        <f t="shared" si="2"/>
        <v>2025</v>
      </c>
      <c r="E50" s="3">
        <v>45779</v>
      </c>
      <c r="F50">
        <f t="shared" si="0"/>
        <v>92</v>
      </c>
      <c r="G50" t="s">
        <v>251</v>
      </c>
      <c r="H50" t="s">
        <v>79</v>
      </c>
      <c r="I50" t="s">
        <v>90</v>
      </c>
      <c r="J50" t="s">
        <v>63</v>
      </c>
      <c r="K50" t="s">
        <v>64</v>
      </c>
      <c r="L50" t="s">
        <v>65</v>
      </c>
      <c r="M50" t="s">
        <v>41</v>
      </c>
      <c r="N50" t="s">
        <v>66</v>
      </c>
      <c r="O50" t="s">
        <v>252</v>
      </c>
      <c r="P50" t="s">
        <v>31</v>
      </c>
      <c r="Q50">
        <v>7</v>
      </c>
      <c r="R50">
        <v>4063.66</v>
      </c>
      <c r="S50" s="6">
        <v>0</v>
      </c>
      <c r="T50" s="6">
        <f t="shared" si="3"/>
        <v>0</v>
      </c>
      <c r="U50">
        <v>28445.62</v>
      </c>
      <c r="V50">
        <f t="shared" si="4"/>
        <v>28445.62</v>
      </c>
      <c r="W50" s="6">
        <f t="shared" si="5"/>
        <v>0</v>
      </c>
      <c r="X50">
        <v>20938.59</v>
      </c>
      <c r="Y50">
        <v>7507.03</v>
      </c>
      <c r="Z50">
        <f t="shared" si="6"/>
        <v>7507.0299999999988</v>
      </c>
      <c r="AA50" s="6">
        <f t="shared" si="7"/>
        <v>0</v>
      </c>
      <c r="AB50">
        <f t="shared" si="8"/>
        <v>0.26390811660986818</v>
      </c>
      <c r="AC50" t="s">
        <v>32</v>
      </c>
      <c r="AD50" t="s">
        <v>33</v>
      </c>
      <c r="AE50" t="s">
        <v>2828</v>
      </c>
    </row>
    <row r="51" spans="1:32">
      <c r="A51" t="s">
        <v>253</v>
      </c>
      <c r="B51" s="3">
        <v>45447</v>
      </c>
      <c r="C51" t="str">
        <f t="shared" si="1"/>
        <v>June</v>
      </c>
      <c r="D51">
        <f t="shared" si="2"/>
        <v>2024</v>
      </c>
      <c r="E51" s="3">
        <v>45395</v>
      </c>
      <c r="F51">
        <f t="shared" si="0"/>
        <v>-52</v>
      </c>
      <c r="G51" t="s">
        <v>254</v>
      </c>
      <c r="H51" t="s">
        <v>128</v>
      </c>
      <c r="I51" t="s">
        <v>95</v>
      </c>
      <c r="J51" t="s">
        <v>25</v>
      </c>
      <c r="K51" t="s">
        <v>136</v>
      </c>
      <c r="L51" t="s">
        <v>137</v>
      </c>
      <c r="M51" t="s">
        <v>74</v>
      </c>
      <c r="N51" t="s">
        <v>80</v>
      </c>
      <c r="O51" t="s">
        <v>255</v>
      </c>
      <c r="P51" t="s">
        <v>31</v>
      </c>
      <c r="Q51">
        <v>9</v>
      </c>
      <c r="R51">
        <v>792.11</v>
      </c>
      <c r="S51" s="6">
        <v>0.05</v>
      </c>
      <c r="T51" s="6">
        <f t="shared" si="3"/>
        <v>0.05</v>
      </c>
      <c r="U51">
        <v>6772.54</v>
      </c>
      <c r="V51">
        <f t="shared" si="4"/>
        <v>6772.5404999999992</v>
      </c>
      <c r="W51" s="6">
        <f t="shared" si="5"/>
        <v>4.999999991923687E-4</v>
      </c>
      <c r="X51">
        <v>5755.46</v>
      </c>
      <c r="Y51">
        <v>1017.08</v>
      </c>
      <c r="Z51">
        <f t="shared" si="6"/>
        <v>1017.0804999999991</v>
      </c>
      <c r="AA51" s="6">
        <f t="shared" si="7"/>
        <v>4.9999999907868187E-4</v>
      </c>
      <c r="AB51">
        <f t="shared" si="8"/>
        <v>0.15017710119267641</v>
      </c>
      <c r="AC51" t="s">
        <v>32</v>
      </c>
      <c r="AD51" t="s">
        <v>33</v>
      </c>
      <c r="AE51" t="s">
        <v>2826</v>
      </c>
      <c r="AF51" s="10" t="s">
        <v>2790</v>
      </c>
    </row>
    <row r="52" spans="1:32">
      <c r="A52" t="s">
        <v>256</v>
      </c>
      <c r="B52" s="3">
        <v>45788</v>
      </c>
      <c r="C52" t="str">
        <f t="shared" si="1"/>
        <v>May</v>
      </c>
      <c r="D52">
        <f t="shared" si="2"/>
        <v>2025</v>
      </c>
      <c r="E52" s="3">
        <v>45796</v>
      </c>
      <c r="F52">
        <f t="shared" si="0"/>
        <v>8</v>
      </c>
      <c r="G52" t="s">
        <v>257</v>
      </c>
      <c r="H52" t="s">
        <v>132</v>
      </c>
      <c r="I52" t="s">
        <v>24</v>
      </c>
      <c r="J52" t="s">
        <v>38</v>
      </c>
      <c r="K52" t="s">
        <v>99</v>
      </c>
      <c r="L52" t="s">
        <v>100</v>
      </c>
      <c r="M52" t="s">
        <v>74</v>
      </c>
      <c r="N52" t="s">
        <v>80</v>
      </c>
      <c r="O52" t="s">
        <v>258</v>
      </c>
      <c r="P52" t="s">
        <v>59</v>
      </c>
      <c r="Q52">
        <v>1</v>
      </c>
      <c r="R52">
        <v>2382.8000000000002</v>
      </c>
      <c r="S52" s="6">
        <v>0.15</v>
      </c>
      <c r="T52" s="6">
        <f t="shared" si="3"/>
        <v>0.15</v>
      </c>
      <c r="U52">
        <v>2025.38</v>
      </c>
      <c r="V52">
        <f t="shared" si="4"/>
        <v>2025.38</v>
      </c>
      <c r="W52" s="6">
        <f t="shared" si="5"/>
        <v>0</v>
      </c>
      <c r="X52">
        <v>1140.6500000000001</v>
      </c>
      <c r="Y52">
        <v>884.73</v>
      </c>
      <c r="Z52">
        <f t="shared" si="6"/>
        <v>884.73</v>
      </c>
      <c r="AA52" s="6">
        <f t="shared" si="7"/>
        <v>0</v>
      </c>
      <c r="AB52">
        <f t="shared" si="8"/>
        <v>0.43682173221815163</v>
      </c>
      <c r="AC52" t="s">
        <v>32</v>
      </c>
      <c r="AD52" t="s">
        <v>33</v>
      </c>
      <c r="AE52" t="s">
        <v>2828</v>
      </c>
    </row>
    <row r="53" spans="1:32">
      <c r="A53" t="s">
        <v>259</v>
      </c>
      <c r="B53" s="3">
        <v>45406</v>
      </c>
      <c r="C53" t="str">
        <f t="shared" si="1"/>
        <v>April</v>
      </c>
      <c r="D53">
        <f t="shared" si="2"/>
        <v>2024</v>
      </c>
      <c r="E53" s="3">
        <v>45411</v>
      </c>
      <c r="F53">
        <f t="shared" si="0"/>
        <v>5</v>
      </c>
      <c r="G53" t="s">
        <v>260</v>
      </c>
      <c r="H53" t="s">
        <v>62</v>
      </c>
      <c r="I53" t="s">
        <v>90</v>
      </c>
      <c r="J53" t="s">
        <v>54</v>
      </c>
      <c r="K53" t="s">
        <v>55</v>
      </c>
      <c r="L53" t="s">
        <v>56</v>
      </c>
      <c r="M53" t="s">
        <v>28</v>
      </c>
      <c r="N53" t="s">
        <v>48</v>
      </c>
      <c r="O53" t="s">
        <v>261</v>
      </c>
      <c r="P53" t="s">
        <v>59</v>
      </c>
      <c r="Q53">
        <v>6</v>
      </c>
      <c r="R53">
        <v>1528.08</v>
      </c>
      <c r="S53" s="6">
        <v>0</v>
      </c>
      <c r="T53" s="6">
        <f t="shared" si="3"/>
        <v>0</v>
      </c>
      <c r="U53">
        <v>9168.48</v>
      </c>
      <c r="V53">
        <f t="shared" si="4"/>
        <v>9168.48</v>
      </c>
      <c r="W53" s="6">
        <f t="shared" si="5"/>
        <v>0</v>
      </c>
      <c r="X53">
        <v>7439.77</v>
      </c>
      <c r="Y53">
        <v>1728.71</v>
      </c>
      <c r="Z53">
        <f t="shared" si="6"/>
        <v>1728.7099999999991</v>
      </c>
      <c r="AA53" s="6">
        <f t="shared" si="7"/>
        <v>0</v>
      </c>
      <c r="AB53">
        <f t="shared" si="8"/>
        <v>0.18854924698532355</v>
      </c>
      <c r="AC53" t="s">
        <v>32</v>
      </c>
      <c r="AD53" t="s">
        <v>33</v>
      </c>
      <c r="AE53" t="s">
        <v>2828</v>
      </c>
    </row>
    <row r="54" spans="1:32">
      <c r="A54" t="s">
        <v>262</v>
      </c>
      <c r="B54" s="3">
        <v>45591</v>
      </c>
      <c r="C54" t="str">
        <f t="shared" si="1"/>
        <v>October</v>
      </c>
      <c r="D54">
        <f t="shared" si="2"/>
        <v>2024</v>
      </c>
      <c r="E54" s="3">
        <v>45593</v>
      </c>
      <c r="F54">
        <f t="shared" si="0"/>
        <v>2</v>
      </c>
      <c r="G54" t="s">
        <v>263</v>
      </c>
      <c r="H54" t="s">
        <v>264</v>
      </c>
      <c r="I54" t="s">
        <v>37</v>
      </c>
      <c r="J54" t="s">
        <v>25</v>
      </c>
      <c r="K54" t="s">
        <v>26</v>
      </c>
      <c r="L54" t="s">
        <v>27</v>
      </c>
      <c r="M54" t="s">
        <v>41</v>
      </c>
      <c r="N54" t="s">
        <v>66</v>
      </c>
      <c r="O54" t="s">
        <v>265</v>
      </c>
      <c r="P54" t="s">
        <v>50</v>
      </c>
      <c r="Q54">
        <v>9</v>
      </c>
      <c r="R54">
        <v>1399.63</v>
      </c>
      <c r="S54" s="6">
        <v>0</v>
      </c>
      <c r="T54" s="6">
        <f t="shared" si="3"/>
        <v>0</v>
      </c>
      <c r="U54">
        <v>12596.67</v>
      </c>
      <c r="V54">
        <f t="shared" si="4"/>
        <v>12596.670000000002</v>
      </c>
      <c r="W54" s="6">
        <f t="shared" si="5"/>
        <v>0</v>
      </c>
      <c r="X54">
        <v>10603.29</v>
      </c>
      <c r="Y54">
        <v>1993.38</v>
      </c>
      <c r="Z54">
        <f t="shared" si="6"/>
        <v>1993.380000000001</v>
      </c>
      <c r="AA54" s="6">
        <f t="shared" si="7"/>
        <v>0</v>
      </c>
      <c r="AB54">
        <f t="shared" si="8"/>
        <v>0.15824658421630483</v>
      </c>
      <c r="AC54" t="s">
        <v>155</v>
      </c>
      <c r="AD54" t="s">
        <v>68</v>
      </c>
      <c r="AE54" t="s">
        <v>2827</v>
      </c>
      <c r="AF54" s="10" t="s">
        <v>2796</v>
      </c>
    </row>
    <row r="55" spans="1:32">
      <c r="A55" t="s">
        <v>266</v>
      </c>
      <c r="B55" s="3">
        <v>45747</v>
      </c>
      <c r="C55" t="str">
        <f t="shared" si="1"/>
        <v>March</v>
      </c>
      <c r="D55">
        <f t="shared" si="2"/>
        <v>2025</v>
      </c>
      <c r="E55" s="3">
        <v>45747</v>
      </c>
      <c r="F55">
        <f t="shared" si="0"/>
        <v>0</v>
      </c>
      <c r="G55" t="s">
        <v>267</v>
      </c>
      <c r="H55" t="s">
        <v>264</v>
      </c>
      <c r="I55" t="s">
        <v>95</v>
      </c>
      <c r="J55" t="s">
        <v>63</v>
      </c>
      <c r="K55" t="s">
        <v>180</v>
      </c>
      <c r="L55" t="s">
        <v>181</v>
      </c>
      <c r="M55" t="s">
        <v>28</v>
      </c>
      <c r="N55" t="s">
        <v>124</v>
      </c>
      <c r="O55" t="s">
        <v>268</v>
      </c>
      <c r="P55" t="s">
        <v>50</v>
      </c>
      <c r="Q55">
        <v>5</v>
      </c>
      <c r="R55">
        <v>1207.47</v>
      </c>
      <c r="S55" s="6">
        <v>0.15</v>
      </c>
      <c r="T55" s="6">
        <f t="shared" si="3"/>
        <v>0.15</v>
      </c>
      <c r="U55">
        <v>5131.75</v>
      </c>
      <c r="V55">
        <f t="shared" si="4"/>
        <v>5131.7475000000004</v>
      </c>
      <c r="W55" s="6">
        <f t="shared" si="5"/>
        <v>-2.4999999995998223E-3</v>
      </c>
      <c r="X55">
        <v>2838.68</v>
      </c>
      <c r="Y55">
        <v>2293.0700000000002</v>
      </c>
      <c r="Z55">
        <f t="shared" si="6"/>
        <v>2293.0675000000006</v>
      </c>
      <c r="AA55" s="6">
        <f t="shared" si="7"/>
        <v>-2.4999999995998223E-3</v>
      </c>
      <c r="AB55">
        <f t="shared" si="8"/>
        <v>0.44683950252813498</v>
      </c>
      <c r="AC55" t="s">
        <v>32</v>
      </c>
      <c r="AD55" t="s">
        <v>33</v>
      </c>
      <c r="AE55" t="s">
        <v>2828</v>
      </c>
    </row>
    <row r="56" spans="1:32">
      <c r="A56" t="s">
        <v>269</v>
      </c>
      <c r="B56" s="3">
        <v>45807</v>
      </c>
      <c r="C56" t="str">
        <f t="shared" si="1"/>
        <v>May</v>
      </c>
      <c r="D56">
        <f t="shared" si="2"/>
        <v>2025</v>
      </c>
      <c r="E56" s="3">
        <v>45694</v>
      </c>
      <c r="F56">
        <f t="shared" si="0"/>
        <v>-113</v>
      </c>
      <c r="G56" t="s">
        <v>270</v>
      </c>
      <c r="H56" t="s">
        <v>53</v>
      </c>
      <c r="I56" t="s">
        <v>90</v>
      </c>
      <c r="J56" t="s">
        <v>54</v>
      </c>
      <c r="K56" t="s">
        <v>247</v>
      </c>
      <c r="L56" t="s">
        <v>248</v>
      </c>
      <c r="M56" t="s">
        <v>28</v>
      </c>
      <c r="N56" t="s">
        <v>91</v>
      </c>
      <c r="O56" t="s">
        <v>271</v>
      </c>
      <c r="P56" t="s">
        <v>44</v>
      </c>
      <c r="Q56">
        <v>8</v>
      </c>
      <c r="R56">
        <v>474.37</v>
      </c>
      <c r="S56" s="6">
        <v>0.1</v>
      </c>
      <c r="T56" s="6">
        <f t="shared" si="3"/>
        <v>0.1</v>
      </c>
      <c r="U56">
        <v>3415.46</v>
      </c>
      <c r="V56">
        <f t="shared" si="4"/>
        <v>3415.4639999999999</v>
      </c>
      <c r="W56" s="6">
        <f t="shared" si="5"/>
        <v>3.9999999999054126E-3</v>
      </c>
      <c r="X56">
        <v>1993.23</v>
      </c>
      <c r="Y56">
        <v>1422.23</v>
      </c>
      <c r="Z56">
        <f t="shared" si="6"/>
        <v>1422.2339999999999</v>
      </c>
      <c r="AA56" s="6">
        <f t="shared" si="7"/>
        <v>3.9999999999054126E-3</v>
      </c>
      <c r="AB56">
        <f t="shared" si="8"/>
        <v>0.4164101861416194</v>
      </c>
      <c r="AC56" t="s">
        <v>155</v>
      </c>
      <c r="AD56" t="s">
        <v>68</v>
      </c>
      <c r="AE56" t="s">
        <v>2826</v>
      </c>
      <c r="AF56" s="10" t="s">
        <v>2798</v>
      </c>
    </row>
    <row r="57" spans="1:32">
      <c r="A57" t="s">
        <v>272</v>
      </c>
      <c r="B57" s="3">
        <v>45664</v>
      </c>
      <c r="C57" t="str">
        <f t="shared" si="1"/>
        <v>January</v>
      </c>
      <c r="D57">
        <f t="shared" si="2"/>
        <v>2025</v>
      </c>
      <c r="E57" s="3">
        <v>45723</v>
      </c>
      <c r="F57">
        <f t="shared" si="0"/>
        <v>59</v>
      </c>
      <c r="G57" t="s">
        <v>273</v>
      </c>
      <c r="H57" t="s">
        <v>36</v>
      </c>
      <c r="I57" t="s">
        <v>37</v>
      </c>
      <c r="J57" t="s">
        <v>54</v>
      </c>
      <c r="K57" t="s">
        <v>84</v>
      </c>
      <c r="L57" t="s">
        <v>85</v>
      </c>
      <c r="M57" t="s">
        <v>74</v>
      </c>
      <c r="N57" t="s">
        <v>274</v>
      </c>
      <c r="O57" t="s">
        <v>275</v>
      </c>
      <c r="P57" t="s">
        <v>44</v>
      </c>
      <c r="Q57">
        <v>3</v>
      </c>
      <c r="R57">
        <v>1516.24</v>
      </c>
      <c r="S57" s="6">
        <v>0.25</v>
      </c>
      <c r="T57" s="6">
        <f t="shared" si="3"/>
        <v>0.25</v>
      </c>
      <c r="U57">
        <v>3411.54</v>
      </c>
      <c r="V57">
        <f t="shared" si="4"/>
        <v>3411.54</v>
      </c>
      <c r="W57" s="6">
        <f t="shared" si="5"/>
        <v>0</v>
      </c>
      <c r="X57">
        <v>2803.13</v>
      </c>
      <c r="Y57">
        <v>608.41</v>
      </c>
      <c r="Z57">
        <f t="shared" si="6"/>
        <v>608.40999999999985</v>
      </c>
      <c r="AA57" s="6">
        <f t="shared" si="7"/>
        <v>0</v>
      </c>
      <c r="AB57">
        <f t="shared" si="8"/>
        <v>0.17833881472883209</v>
      </c>
      <c r="AC57" t="s">
        <v>32</v>
      </c>
      <c r="AD57" t="s">
        <v>33</v>
      </c>
      <c r="AE57" t="s">
        <v>2828</v>
      </c>
    </row>
    <row r="58" spans="1:32">
      <c r="A58" t="s">
        <v>276</v>
      </c>
      <c r="B58" s="3">
        <v>45778</v>
      </c>
      <c r="C58" t="str">
        <f t="shared" si="1"/>
        <v>May</v>
      </c>
      <c r="D58">
        <f t="shared" si="2"/>
        <v>2025</v>
      </c>
      <c r="E58" s="3">
        <v>45809</v>
      </c>
      <c r="F58">
        <f t="shared" si="0"/>
        <v>31</v>
      </c>
      <c r="G58" t="s">
        <v>277</v>
      </c>
      <c r="H58" t="s">
        <v>23</v>
      </c>
      <c r="I58" t="s">
        <v>24</v>
      </c>
      <c r="J58" t="s">
        <v>54</v>
      </c>
      <c r="K58" t="s">
        <v>175</v>
      </c>
      <c r="L58" t="s">
        <v>176</v>
      </c>
      <c r="M58" t="s">
        <v>28</v>
      </c>
      <c r="N58" t="s">
        <v>153</v>
      </c>
      <c r="O58" t="s">
        <v>278</v>
      </c>
      <c r="P58" t="s">
        <v>31</v>
      </c>
      <c r="Q58">
        <v>3</v>
      </c>
      <c r="R58">
        <v>3155.61</v>
      </c>
      <c r="S58" s="6">
        <v>0</v>
      </c>
      <c r="T58" s="6">
        <f t="shared" si="3"/>
        <v>0</v>
      </c>
      <c r="U58">
        <v>9466.83</v>
      </c>
      <c r="V58">
        <f t="shared" si="4"/>
        <v>9466.83</v>
      </c>
      <c r="W58" s="6">
        <f t="shared" si="5"/>
        <v>0</v>
      </c>
      <c r="X58">
        <v>6557.83</v>
      </c>
      <c r="Y58">
        <v>2909</v>
      </c>
      <c r="Z58">
        <f t="shared" si="6"/>
        <v>2909</v>
      </c>
      <c r="AA58" s="6">
        <f t="shared" si="7"/>
        <v>0</v>
      </c>
      <c r="AB58">
        <f t="shared" si="8"/>
        <v>0.30728343067320318</v>
      </c>
      <c r="AC58" t="s">
        <v>102</v>
      </c>
      <c r="AD58" t="s">
        <v>68</v>
      </c>
      <c r="AE58" t="s">
        <v>2827</v>
      </c>
      <c r="AF58" t="s">
        <v>2808</v>
      </c>
    </row>
    <row r="59" spans="1:32">
      <c r="A59" t="s">
        <v>279</v>
      </c>
      <c r="B59" s="3">
        <v>45475</v>
      </c>
      <c r="C59" t="str">
        <f t="shared" si="1"/>
        <v>July</v>
      </c>
      <c r="D59">
        <f t="shared" si="2"/>
        <v>2024</v>
      </c>
      <c r="E59" s="3">
        <v>45337</v>
      </c>
      <c r="F59">
        <f t="shared" si="0"/>
        <v>-138</v>
      </c>
      <c r="G59" t="s">
        <v>280</v>
      </c>
      <c r="H59" t="s">
        <v>114</v>
      </c>
      <c r="I59" t="s">
        <v>24</v>
      </c>
      <c r="J59" t="s">
        <v>63</v>
      </c>
      <c r="K59" t="s">
        <v>190</v>
      </c>
      <c r="L59" t="s">
        <v>191</v>
      </c>
      <c r="M59" t="s">
        <v>41</v>
      </c>
      <c r="N59" t="s">
        <v>66</v>
      </c>
      <c r="O59" t="s">
        <v>281</v>
      </c>
      <c r="P59" t="s">
        <v>44</v>
      </c>
      <c r="Q59">
        <v>5</v>
      </c>
      <c r="R59">
        <v>255.87</v>
      </c>
      <c r="S59" s="6">
        <v>0</v>
      </c>
      <c r="T59" s="6">
        <f t="shared" si="3"/>
        <v>0</v>
      </c>
      <c r="U59">
        <v>1279.3499999999999</v>
      </c>
      <c r="V59">
        <f t="shared" si="4"/>
        <v>1279.3499999999999</v>
      </c>
      <c r="W59" s="6">
        <f t="shared" si="5"/>
        <v>0</v>
      </c>
      <c r="X59">
        <v>1091.54</v>
      </c>
      <c r="Y59">
        <v>187.81</v>
      </c>
      <c r="Z59">
        <f t="shared" si="6"/>
        <v>187.80999999999995</v>
      </c>
      <c r="AA59" s="6">
        <f t="shared" si="7"/>
        <v>0</v>
      </c>
      <c r="AB59">
        <f t="shared" si="8"/>
        <v>0.14680110993864068</v>
      </c>
      <c r="AC59" t="s">
        <v>32</v>
      </c>
      <c r="AD59" t="s">
        <v>33</v>
      </c>
      <c r="AE59" t="s">
        <v>2826</v>
      </c>
      <c r="AF59" s="10" t="s">
        <v>2790</v>
      </c>
    </row>
    <row r="60" spans="1:32">
      <c r="A60" t="s">
        <v>282</v>
      </c>
      <c r="B60" s="3">
        <v>45300</v>
      </c>
      <c r="C60" t="str">
        <f t="shared" si="1"/>
        <v>January</v>
      </c>
      <c r="D60">
        <f t="shared" si="2"/>
        <v>2024</v>
      </c>
      <c r="E60" s="3">
        <v>45482</v>
      </c>
      <c r="F60">
        <f t="shared" si="0"/>
        <v>182</v>
      </c>
      <c r="G60" t="s">
        <v>283</v>
      </c>
      <c r="H60" t="s">
        <v>47</v>
      </c>
      <c r="I60" t="s">
        <v>95</v>
      </c>
      <c r="J60" t="s">
        <v>25</v>
      </c>
      <c r="K60" t="s">
        <v>26</v>
      </c>
      <c r="L60" t="s">
        <v>27</v>
      </c>
      <c r="M60" t="s">
        <v>28</v>
      </c>
      <c r="N60" t="s">
        <v>124</v>
      </c>
      <c r="O60" t="s">
        <v>284</v>
      </c>
      <c r="P60" t="s">
        <v>2781</v>
      </c>
      <c r="Q60">
        <v>9</v>
      </c>
      <c r="R60">
        <v>1389.48</v>
      </c>
      <c r="S60" s="6">
        <v>0.1</v>
      </c>
      <c r="T60" s="6">
        <f t="shared" si="3"/>
        <v>0.1</v>
      </c>
      <c r="U60">
        <v>11254.79</v>
      </c>
      <c r="V60">
        <f t="shared" si="4"/>
        <v>11254.788</v>
      </c>
      <c r="W60" s="6">
        <f t="shared" si="5"/>
        <v>-2.0000000004074536E-3</v>
      </c>
      <c r="X60">
        <v>6578.06</v>
      </c>
      <c r="Y60">
        <v>4676.7299999999996</v>
      </c>
      <c r="Z60">
        <f t="shared" si="6"/>
        <v>4676.7280000000001</v>
      </c>
      <c r="AA60" s="6">
        <f t="shared" si="7"/>
        <v>-1.9999999994979589E-3</v>
      </c>
      <c r="AB60">
        <f t="shared" si="8"/>
        <v>0.41553230500654476</v>
      </c>
      <c r="AC60" t="s">
        <v>111</v>
      </c>
      <c r="AD60" t="s">
        <v>103</v>
      </c>
      <c r="AE60" t="s">
        <v>2827</v>
      </c>
      <c r="AF60" t="s">
        <v>2830</v>
      </c>
    </row>
    <row r="61" spans="1:32">
      <c r="A61" t="s">
        <v>285</v>
      </c>
      <c r="B61" s="3">
        <v>45493</v>
      </c>
      <c r="C61" t="str">
        <f t="shared" si="1"/>
        <v>July</v>
      </c>
      <c r="D61">
        <f t="shared" si="2"/>
        <v>2024</v>
      </c>
      <c r="E61" s="3">
        <v>45498</v>
      </c>
      <c r="F61">
        <f t="shared" si="0"/>
        <v>5</v>
      </c>
      <c r="G61" t="s">
        <v>286</v>
      </c>
      <c r="H61" t="s">
        <v>114</v>
      </c>
      <c r="I61" t="s">
        <v>90</v>
      </c>
      <c r="J61" t="s">
        <v>38</v>
      </c>
      <c r="K61" t="s">
        <v>166</v>
      </c>
      <c r="L61" t="s">
        <v>167</v>
      </c>
      <c r="M61" t="s">
        <v>28</v>
      </c>
      <c r="N61" t="s">
        <v>91</v>
      </c>
      <c r="O61" t="s">
        <v>287</v>
      </c>
      <c r="P61" t="s">
        <v>44</v>
      </c>
      <c r="Q61">
        <v>5</v>
      </c>
      <c r="R61">
        <v>4133.8500000000004</v>
      </c>
      <c r="S61" s="6">
        <v>0.2</v>
      </c>
      <c r="T61" s="6">
        <f t="shared" si="3"/>
        <v>0.2</v>
      </c>
      <c r="U61">
        <v>16535.400000000001</v>
      </c>
      <c r="V61">
        <f t="shared" si="4"/>
        <v>16535.400000000001</v>
      </c>
      <c r="W61" s="6">
        <f t="shared" si="5"/>
        <v>0</v>
      </c>
      <c r="X61">
        <v>12990.21</v>
      </c>
      <c r="Y61">
        <v>3545.19</v>
      </c>
      <c r="Z61">
        <f t="shared" si="6"/>
        <v>3545.1900000000023</v>
      </c>
      <c r="AA61" s="6">
        <f t="shared" si="7"/>
        <v>0</v>
      </c>
      <c r="AB61">
        <f t="shared" si="8"/>
        <v>0.21440001451431487</v>
      </c>
      <c r="AC61" t="s">
        <v>32</v>
      </c>
      <c r="AD61" t="s">
        <v>68</v>
      </c>
      <c r="AE61" t="s">
        <v>2827</v>
      </c>
      <c r="AF61" t="s">
        <v>2795</v>
      </c>
    </row>
    <row r="62" spans="1:32">
      <c r="A62" t="s">
        <v>288</v>
      </c>
      <c r="B62" s="3">
        <v>45486</v>
      </c>
      <c r="C62" t="str">
        <f t="shared" si="1"/>
        <v>July</v>
      </c>
      <c r="D62">
        <f t="shared" si="2"/>
        <v>2024</v>
      </c>
      <c r="E62" s="3">
        <v>45492</v>
      </c>
      <c r="F62">
        <f t="shared" si="0"/>
        <v>6</v>
      </c>
      <c r="G62" t="s">
        <v>289</v>
      </c>
      <c r="H62" t="s">
        <v>62</v>
      </c>
      <c r="I62" t="s">
        <v>90</v>
      </c>
      <c r="J62" t="s">
        <v>38</v>
      </c>
      <c r="K62" t="s">
        <v>166</v>
      </c>
      <c r="L62" t="s">
        <v>167</v>
      </c>
      <c r="M62" t="s">
        <v>28</v>
      </c>
      <c r="N62" t="s">
        <v>91</v>
      </c>
      <c r="O62" t="s">
        <v>290</v>
      </c>
      <c r="P62" t="s">
        <v>44</v>
      </c>
      <c r="Q62">
        <v>3</v>
      </c>
      <c r="R62">
        <v>275.76</v>
      </c>
      <c r="S62" s="6">
        <v>0.2</v>
      </c>
      <c r="T62" s="6">
        <f t="shared" si="3"/>
        <v>0.2</v>
      </c>
      <c r="U62">
        <v>661.82</v>
      </c>
      <c r="V62">
        <f t="shared" si="4"/>
        <v>661.82400000000007</v>
      </c>
      <c r="W62" s="6">
        <f t="shared" si="5"/>
        <v>4.0000000000190994E-3</v>
      </c>
      <c r="X62">
        <v>481.47</v>
      </c>
      <c r="Y62">
        <v>180.35</v>
      </c>
      <c r="Z62">
        <f t="shared" si="6"/>
        <v>180.35400000000004</v>
      </c>
      <c r="AA62" s="6">
        <f t="shared" si="7"/>
        <v>4.0000000000475211E-3</v>
      </c>
      <c r="AB62">
        <f t="shared" si="8"/>
        <v>0.27251051639106472</v>
      </c>
      <c r="AC62" t="s">
        <v>102</v>
      </c>
      <c r="AD62" t="s">
        <v>68</v>
      </c>
      <c r="AE62" t="s">
        <v>2827</v>
      </c>
      <c r="AF62" t="s">
        <v>2808</v>
      </c>
    </row>
    <row r="63" spans="1:32">
      <c r="A63" t="s">
        <v>291</v>
      </c>
      <c r="B63" s="3">
        <v>45398</v>
      </c>
      <c r="C63" t="str">
        <f t="shared" si="1"/>
        <v>April</v>
      </c>
      <c r="D63">
        <f t="shared" si="2"/>
        <v>2024</v>
      </c>
      <c r="E63" s="3">
        <v>45398</v>
      </c>
      <c r="F63">
        <f t="shared" si="0"/>
        <v>0</v>
      </c>
      <c r="G63" t="s">
        <v>292</v>
      </c>
      <c r="H63" t="s">
        <v>71</v>
      </c>
      <c r="I63" t="s">
        <v>95</v>
      </c>
      <c r="J63" t="s">
        <v>38</v>
      </c>
      <c r="K63" t="s">
        <v>145</v>
      </c>
      <c r="L63" t="s">
        <v>146</v>
      </c>
      <c r="M63" t="s">
        <v>41</v>
      </c>
      <c r="N63" t="s">
        <v>158</v>
      </c>
      <c r="O63" t="s">
        <v>293</v>
      </c>
      <c r="P63" t="s">
        <v>59</v>
      </c>
      <c r="Q63">
        <v>1</v>
      </c>
      <c r="R63">
        <v>949.59</v>
      </c>
      <c r="S63" s="6">
        <v>0</v>
      </c>
      <c r="T63" s="6">
        <f t="shared" si="3"/>
        <v>0</v>
      </c>
      <c r="U63">
        <v>949.59</v>
      </c>
      <c r="V63">
        <f t="shared" si="4"/>
        <v>949.59</v>
      </c>
      <c r="W63" s="6">
        <f t="shared" si="5"/>
        <v>0</v>
      </c>
      <c r="X63">
        <v>751.25</v>
      </c>
      <c r="Y63">
        <v>198.34</v>
      </c>
      <c r="Z63">
        <f t="shared" si="6"/>
        <v>198.34000000000003</v>
      </c>
      <c r="AA63" s="6">
        <f t="shared" si="7"/>
        <v>0</v>
      </c>
      <c r="AB63">
        <f t="shared" si="8"/>
        <v>0.20886909087079689</v>
      </c>
      <c r="AC63" t="s">
        <v>32</v>
      </c>
      <c r="AD63" t="s">
        <v>33</v>
      </c>
      <c r="AE63" t="s">
        <v>2828</v>
      </c>
    </row>
    <row r="64" spans="1:32">
      <c r="A64" t="s">
        <v>294</v>
      </c>
      <c r="B64" s="3">
        <v>45595</v>
      </c>
      <c r="C64" t="str">
        <f t="shared" si="1"/>
        <v>October</v>
      </c>
      <c r="D64">
        <f t="shared" si="2"/>
        <v>2024</v>
      </c>
      <c r="E64" s="3">
        <v>45333</v>
      </c>
      <c r="F64">
        <f t="shared" si="0"/>
        <v>-262</v>
      </c>
      <c r="G64" t="s">
        <v>295</v>
      </c>
      <c r="H64" t="s">
        <v>132</v>
      </c>
      <c r="I64" t="s">
        <v>95</v>
      </c>
      <c r="J64" t="s">
        <v>25</v>
      </c>
      <c r="K64" t="s">
        <v>26</v>
      </c>
      <c r="L64" t="s">
        <v>27</v>
      </c>
      <c r="M64" t="s">
        <v>74</v>
      </c>
      <c r="N64" t="s">
        <v>171</v>
      </c>
      <c r="O64" t="s">
        <v>296</v>
      </c>
      <c r="P64" t="s">
        <v>59</v>
      </c>
      <c r="Q64">
        <v>9</v>
      </c>
      <c r="R64">
        <v>3042.29</v>
      </c>
      <c r="S64" s="6">
        <v>0.2</v>
      </c>
      <c r="T64" s="6">
        <f t="shared" si="3"/>
        <v>0.2</v>
      </c>
      <c r="U64">
        <v>21904.49</v>
      </c>
      <c r="V64">
        <f t="shared" si="4"/>
        <v>21904.488000000001</v>
      </c>
      <c r="W64" s="6">
        <f t="shared" si="5"/>
        <v>-2.0000000004074536E-3</v>
      </c>
      <c r="X64">
        <v>13570.55</v>
      </c>
      <c r="Y64">
        <v>8333.94</v>
      </c>
      <c r="Z64">
        <f t="shared" si="6"/>
        <v>8333.9380000000019</v>
      </c>
      <c r="AA64" s="6">
        <f t="shared" si="7"/>
        <v>-1.9999999985884642E-3</v>
      </c>
      <c r="AB64">
        <f t="shared" si="8"/>
        <v>0.38046714445003244</v>
      </c>
      <c r="AC64" t="s">
        <v>32</v>
      </c>
      <c r="AD64" t="s">
        <v>33</v>
      </c>
      <c r="AE64" t="s">
        <v>2826</v>
      </c>
      <c r="AF64" s="10" t="s">
        <v>2790</v>
      </c>
    </row>
    <row r="65" spans="1:32">
      <c r="A65" t="s">
        <v>297</v>
      </c>
      <c r="B65" s="3">
        <v>45316</v>
      </c>
      <c r="C65" t="str">
        <f t="shared" si="1"/>
        <v>January</v>
      </c>
      <c r="D65">
        <f t="shared" si="2"/>
        <v>2024</v>
      </c>
      <c r="E65" s="3">
        <v>45293</v>
      </c>
      <c r="F65">
        <f t="shared" si="0"/>
        <v>-23</v>
      </c>
      <c r="G65" t="s">
        <v>298</v>
      </c>
      <c r="H65" t="s">
        <v>132</v>
      </c>
      <c r="I65" t="s">
        <v>95</v>
      </c>
      <c r="J65" t="s">
        <v>25</v>
      </c>
      <c r="K65" t="s">
        <v>236</v>
      </c>
      <c r="L65" t="s">
        <v>237</v>
      </c>
      <c r="M65" t="s">
        <v>28</v>
      </c>
      <c r="N65" t="s">
        <v>153</v>
      </c>
      <c r="O65" t="s">
        <v>299</v>
      </c>
      <c r="P65" t="s">
        <v>44</v>
      </c>
      <c r="Q65">
        <v>2</v>
      </c>
      <c r="R65">
        <v>2832.77</v>
      </c>
      <c r="S65" s="6">
        <v>0.15</v>
      </c>
      <c r="T65" s="6">
        <f t="shared" si="3"/>
        <v>0.15</v>
      </c>
      <c r="U65">
        <v>4815.71</v>
      </c>
      <c r="V65">
        <f t="shared" si="4"/>
        <v>4815.7089999999998</v>
      </c>
      <c r="W65" s="6">
        <f t="shared" si="5"/>
        <v>-1.0000000002037268E-3</v>
      </c>
      <c r="X65">
        <v>3027.75</v>
      </c>
      <c r="Y65">
        <v>1917.47</v>
      </c>
      <c r="Z65">
        <f t="shared" si="6"/>
        <v>1787.9589999999998</v>
      </c>
      <c r="AA65" s="6">
        <f t="shared" si="7"/>
        <v>-129.51100000000019</v>
      </c>
      <c r="AB65">
        <f t="shared" si="8"/>
        <v>0.37127637903369992</v>
      </c>
      <c r="AC65" t="s">
        <v>32</v>
      </c>
      <c r="AD65" t="s">
        <v>33</v>
      </c>
      <c r="AE65" t="s">
        <v>2826</v>
      </c>
      <c r="AF65" s="10" t="s">
        <v>2790</v>
      </c>
    </row>
    <row r="66" spans="1:32">
      <c r="A66" t="s">
        <v>300</v>
      </c>
      <c r="B66" s="3">
        <v>45649</v>
      </c>
      <c r="C66" t="str">
        <f t="shared" si="1"/>
        <v>December</v>
      </c>
      <c r="D66">
        <f t="shared" si="2"/>
        <v>2024</v>
      </c>
      <c r="E66" s="3">
        <v>45655</v>
      </c>
      <c r="F66">
        <f t="shared" ref="F66:F129" si="9">E66-B66</f>
        <v>6</v>
      </c>
      <c r="G66" t="s">
        <v>301</v>
      </c>
      <c r="H66" t="s">
        <v>128</v>
      </c>
      <c r="I66" t="s">
        <v>90</v>
      </c>
      <c r="J66" t="s">
        <v>38</v>
      </c>
      <c r="K66" t="s">
        <v>228</v>
      </c>
      <c r="L66" t="s">
        <v>229</v>
      </c>
      <c r="M66" t="s">
        <v>28</v>
      </c>
      <c r="N66" t="s">
        <v>29</v>
      </c>
      <c r="O66" t="s">
        <v>302</v>
      </c>
      <c r="P66" t="s">
        <v>50</v>
      </c>
      <c r="Q66">
        <v>7</v>
      </c>
      <c r="R66">
        <v>447.84</v>
      </c>
      <c r="S66" s="6">
        <v>0</v>
      </c>
      <c r="T66" s="6">
        <f t="shared" si="3"/>
        <v>0</v>
      </c>
      <c r="U66">
        <v>3134.88</v>
      </c>
      <c r="V66">
        <f t="shared" si="4"/>
        <v>3134.8799999999997</v>
      </c>
      <c r="W66" s="6">
        <f t="shared" si="5"/>
        <v>0</v>
      </c>
      <c r="X66">
        <v>2367.63</v>
      </c>
      <c r="Y66">
        <v>767.25</v>
      </c>
      <c r="Z66">
        <f t="shared" si="6"/>
        <v>767.24999999999955</v>
      </c>
      <c r="AA66" s="6">
        <f t="shared" si="7"/>
        <v>0</v>
      </c>
      <c r="AB66">
        <f t="shared" si="8"/>
        <v>0.24474621038125849</v>
      </c>
      <c r="AC66" t="s">
        <v>102</v>
      </c>
      <c r="AD66" t="s">
        <v>103</v>
      </c>
      <c r="AE66" t="s">
        <v>2827</v>
      </c>
      <c r="AF66" t="s">
        <v>2807</v>
      </c>
    </row>
    <row r="67" spans="1:32">
      <c r="A67" t="s">
        <v>303</v>
      </c>
      <c r="B67" s="3">
        <v>45404</v>
      </c>
      <c r="C67" t="str">
        <f t="shared" ref="C67:C130" si="10">TEXT(B67, "mmmm")</f>
        <v>April</v>
      </c>
      <c r="D67">
        <f t="shared" ref="D67:D130" si="11">YEAR(B67)</f>
        <v>2024</v>
      </c>
      <c r="E67" s="3">
        <v>45409</v>
      </c>
      <c r="F67">
        <f t="shared" si="9"/>
        <v>5</v>
      </c>
      <c r="G67" t="s">
        <v>304</v>
      </c>
      <c r="H67" t="s">
        <v>36</v>
      </c>
      <c r="I67" t="s">
        <v>95</v>
      </c>
      <c r="J67" t="s">
        <v>63</v>
      </c>
      <c r="K67" t="s">
        <v>64</v>
      </c>
      <c r="L67" t="s">
        <v>65</v>
      </c>
      <c r="M67" t="s">
        <v>28</v>
      </c>
      <c r="N67" t="s">
        <v>29</v>
      </c>
      <c r="O67" t="s">
        <v>305</v>
      </c>
      <c r="P67" t="s">
        <v>31</v>
      </c>
      <c r="Q67">
        <v>1</v>
      </c>
      <c r="R67">
        <v>4280.1899999999996</v>
      </c>
      <c r="S67" s="6">
        <v>0.05</v>
      </c>
      <c r="T67" s="6">
        <f t="shared" ref="T67:T130" si="12">ABS(S67)</f>
        <v>0.05</v>
      </c>
      <c r="U67">
        <v>4066.18</v>
      </c>
      <c r="V67">
        <f t="shared" ref="V67:V130" si="13">Q67*R67*(1-T67)</f>
        <v>4066.1804999999995</v>
      </c>
      <c r="W67" s="6">
        <f t="shared" ref="W67:W130" si="14">V67-U67</f>
        <v>4.9999999964711606E-4</v>
      </c>
      <c r="X67">
        <v>2628.92</v>
      </c>
      <c r="Y67">
        <v>1437.26</v>
      </c>
      <c r="Z67">
        <f t="shared" ref="Z67:Z130" si="15">V67-X67</f>
        <v>1437.2604999999994</v>
      </c>
      <c r="AA67" s="6">
        <f t="shared" ref="AA67:AA130" si="16">Z67-Y67</f>
        <v>4.9999999941974238E-4</v>
      </c>
      <c r="AB67">
        <f t="shared" ref="AB67:AB130" si="17">Z67/V67</f>
        <v>0.35346696980126674</v>
      </c>
      <c r="AC67" t="s">
        <v>32</v>
      </c>
      <c r="AD67" t="s">
        <v>33</v>
      </c>
      <c r="AE67" t="s">
        <v>2828</v>
      </c>
    </row>
    <row r="68" spans="1:32">
      <c r="A68" t="s">
        <v>306</v>
      </c>
      <c r="B68" s="3">
        <v>45897</v>
      </c>
      <c r="C68" t="str">
        <f t="shared" si="10"/>
        <v>August</v>
      </c>
      <c r="D68">
        <f t="shared" si="11"/>
        <v>2025</v>
      </c>
      <c r="E68" s="3">
        <v>45666</v>
      </c>
      <c r="F68">
        <f t="shared" si="9"/>
        <v>-231</v>
      </c>
      <c r="G68" t="s">
        <v>307</v>
      </c>
      <c r="H68" t="s">
        <v>23</v>
      </c>
      <c r="I68" t="s">
        <v>37</v>
      </c>
      <c r="J68" t="s">
        <v>54</v>
      </c>
      <c r="K68" t="s">
        <v>247</v>
      </c>
      <c r="L68" t="s">
        <v>248</v>
      </c>
      <c r="M68" t="s">
        <v>74</v>
      </c>
      <c r="N68" t="s">
        <v>75</v>
      </c>
      <c r="O68" t="s">
        <v>308</v>
      </c>
      <c r="P68" t="s">
        <v>44</v>
      </c>
      <c r="Q68">
        <v>7</v>
      </c>
      <c r="R68">
        <v>1057.46</v>
      </c>
      <c r="S68" s="6">
        <v>0.05</v>
      </c>
      <c r="T68" s="6">
        <f t="shared" si="12"/>
        <v>0.05</v>
      </c>
      <c r="U68">
        <v>7032.11</v>
      </c>
      <c r="V68">
        <f t="shared" si="13"/>
        <v>7032.1089999999995</v>
      </c>
      <c r="W68" s="6">
        <f t="shared" si="14"/>
        <v>-1.0000000002037268E-3</v>
      </c>
      <c r="X68">
        <v>4610.34</v>
      </c>
      <c r="Y68">
        <v>2421.77</v>
      </c>
      <c r="Z68">
        <f t="shared" si="15"/>
        <v>2421.7689999999993</v>
      </c>
      <c r="AA68" s="6">
        <f t="shared" si="16"/>
        <v>-1.0000000006584742E-3</v>
      </c>
      <c r="AB68">
        <f t="shared" si="17"/>
        <v>0.34438729547565311</v>
      </c>
      <c r="AC68" t="s">
        <v>32</v>
      </c>
      <c r="AD68" t="s">
        <v>33</v>
      </c>
      <c r="AE68" t="s">
        <v>2826</v>
      </c>
      <c r="AF68" s="10" t="s">
        <v>2790</v>
      </c>
    </row>
    <row r="69" spans="1:32">
      <c r="A69" t="s">
        <v>309</v>
      </c>
      <c r="B69" s="3">
        <v>45718</v>
      </c>
      <c r="C69" t="str">
        <f t="shared" si="10"/>
        <v>March</v>
      </c>
      <c r="D69">
        <f t="shared" si="11"/>
        <v>2025</v>
      </c>
      <c r="E69" s="3">
        <v>45840</v>
      </c>
      <c r="F69">
        <f t="shared" si="9"/>
        <v>122</v>
      </c>
      <c r="G69" t="s">
        <v>310</v>
      </c>
      <c r="H69" t="s">
        <v>264</v>
      </c>
      <c r="I69" t="s">
        <v>24</v>
      </c>
      <c r="J69" t="s">
        <v>25</v>
      </c>
      <c r="K69" t="s">
        <v>236</v>
      </c>
      <c r="L69" t="s">
        <v>237</v>
      </c>
      <c r="M69" t="s">
        <v>28</v>
      </c>
      <c r="N69" t="s">
        <v>29</v>
      </c>
      <c r="O69" t="s">
        <v>311</v>
      </c>
      <c r="P69" t="s">
        <v>50</v>
      </c>
      <c r="Q69">
        <v>7</v>
      </c>
      <c r="R69">
        <v>3609.34</v>
      </c>
      <c r="S69" s="6">
        <v>0.05</v>
      </c>
      <c r="T69" s="6">
        <f t="shared" si="12"/>
        <v>0.05</v>
      </c>
      <c r="U69">
        <v>24002.11</v>
      </c>
      <c r="V69">
        <f t="shared" si="13"/>
        <v>24002.111000000001</v>
      </c>
      <c r="W69" s="6">
        <f t="shared" si="14"/>
        <v>1.0000000002037268E-3</v>
      </c>
      <c r="X69">
        <v>18707.57</v>
      </c>
      <c r="Y69">
        <v>5294.54</v>
      </c>
      <c r="Z69">
        <f t="shared" si="15"/>
        <v>5294.5410000000011</v>
      </c>
      <c r="AA69" s="6">
        <f t="shared" si="16"/>
        <v>1.0000000011132215E-3</v>
      </c>
      <c r="AB69">
        <f t="shared" si="17"/>
        <v>0.2205864725815159</v>
      </c>
      <c r="AC69" t="s">
        <v>32</v>
      </c>
      <c r="AD69" t="s">
        <v>33</v>
      </c>
      <c r="AE69" t="s">
        <v>2828</v>
      </c>
    </row>
    <row r="70" spans="1:32">
      <c r="A70" t="s">
        <v>312</v>
      </c>
      <c r="B70" s="3">
        <v>45606</v>
      </c>
      <c r="C70" t="str">
        <f t="shared" si="10"/>
        <v>November</v>
      </c>
      <c r="D70">
        <f t="shared" si="11"/>
        <v>2024</v>
      </c>
      <c r="E70" s="3">
        <v>45609</v>
      </c>
      <c r="F70">
        <f t="shared" si="9"/>
        <v>3</v>
      </c>
      <c r="G70" t="s">
        <v>313</v>
      </c>
      <c r="H70" t="s">
        <v>47</v>
      </c>
      <c r="I70" t="s">
        <v>90</v>
      </c>
      <c r="J70" t="s">
        <v>38</v>
      </c>
      <c r="K70" t="s">
        <v>228</v>
      </c>
      <c r="L70" t="s">
        <v>229</v>
      </c>
      <c r="M70" t="s">
        <v>28</v>
      </c>
      <c r="N70" t="s">
        <v>124</v>
      </c>
      <c r="O70" t="s">
        <v>314</v>
      </c>
      <c r="P70" t="s">
        <v>31</v>
      </c>
      <c r="Q70">
        <v>9</v>
      </c>
      <c r="R70">
        <v>2211.12</v>
      </c>
      <c r="S70" s="6">
        <v>0</v>
      </c>
      <c r="T70" s="6">
        <f t="shared" si="12"/>
        <v>0</v>
      </c>
      <c r="U70">
        <v>19900.080000000002</v>
      </c>
      <c r="V70">
        <f t="shared" si="13"/>
        <v>19900.079999999998</v>
      </c>
      <c r="W70" s="6">
        <f t="shared" si="14"/>
        <v>0</v>
      </c>
      <c r="X70">
        <v>10962.66</v>
      </c>
      <c r="Y70">
        <v>8937.42</v>
      </c>
      <c r="Z70">
        <f t="shared" si="15"/>
        <v>8937.4199999999983</v>
      </c>
      <c r="AA70" s="6">
        <f t="shared" si="16"/>
        <v>0</v>
      </c>
      <c r="AB70">
        <f t="shared" si="17"/>
        <v>0.44911477742803041</v>
      </c>
      <c r="AC70" t="s">
        <v>155</v>
      </c>
      <c r="AD70" t="s">
        <v>103</v>
      </c>
      <c r="AE70" t="s">
        <v>2827</v>
      </c>
      <c r="AF70" s="10" t="s">
        <v>2821</v>
      </c>
    </row>
    <row r="71" spans="1:32">
      <c r="A71" t="s">
        <v>315</v>
      </c>
      <c r="B71" s="3">
        <v>45539</v>
      </c>
      <c r="C71" t="str">
        <f t="shared" si="10"/>
        <v>September</v>
      </c>
      <c r="D71">
        <f t="shared" si="11"/>
        <v>2024</v>
      </c>
      <c r="E71" s="3">
        <v>45396</v>
      </c>
      <c r="F71">
        <f t="shared" si="9"/>
        <v>-143</v>
      </c>
      <c r="G71" t="s">
        <v>316</v>
      </c>
      <c r="H71" t="s">
        <v>79</v>
      </c>
      <c r="I71" t="s">
        <v>37</v>
      </c>
      <c r="J71" t="s">
        <v>63</v>
      </c>
      <c r="K71" t="s">
        <v>180</v>
      </c>
      <c r="L71" t="s">
        <v>181</v>
      </c>
      <c r="M71" t="s">
        <v>74</v>
      </c>
      <c r="N71" t="s">
        <v>274</v>
      </c>
      <c r="O71" t="s">
        <v>317</v>
      </c>
      <c r="P71" t="s">
        <v>44</v>
      </c>
      <c r="Q71">
        <v>7</v>
      </c>
      <c r="R71">
        <v>3417.09</v>
      </c>
      <c r="S71" s="6">
        <v>0.1</v>
      </c>
      <c r="T71" s="6">
        <f t="shared" si="12"/>
        <v>0.1</v>
      </c>
      <c r="U71">
        <v>21527.67</v>
      </c>
      <c r="V71">
        <f t="shared" si="13"/>
        <v>21527.667000000001</v>
      </c>
      <c r="W71" s="6">
        <f t="shared" si="14"/>
        <v>-2.9999999969732016E-3</v>
      </c>
      <c r="X71">
        <v>18287.580000000002</v>
      </c>
      <c r="Y71">
        <v>3240.09</v>
      </c>
      <c r="Z71">
        <f t="shared" si="15"/>
        <v>3240.0869999999995</v>
      </c>
      <c r="AA71" s="6">
        <f t="shared" si="16"/>
        <v>-3.0000000006111804E-3</v>
      </c>
      <c r="AB71">
        <f t="shared" si="17"/>
        <v>0.15050804158202555</v>
      </c>
      <c r="AC71" t="s">
        <v>102</v>
      </c>
      <c r="AD71" t="s">
        <v>103</v>
      </c>
      <c r="AE71" t="s">
        <v>2826</v>
      </c>
      <c r="AF71" s="10" t="s">
        <v>2812</v>
      </c>
    </row>
    <row r="72" spans="1:32">
      <c r="A72" t="s">
        <v>318</v>
      </c>
      <c r="B72" s="3">
        <v>45891</v>
      </c>
      <c r="C72" t="str">
        <f t="shared" si="10"/>
        <v>August</v>
      </c>
      <c r="D72">
        <f t="shared" si="11"/>
        <v>2025</v>
      </c>
      <c r="E72" s="3">
        <v>45896</v>
      </c>
      <c r="F72">
        <f t="shared" si="9"/>
        <v>5</v>
      </c>
      <c r="G72" t="s">
        <v>319</v>
      </c>
      <c r="H72" t="s">
        <v>23</v>
      </c>
      <c r="I72" t="s">
        <v>90</v>
      </c>
      <c r="J72" t="s">
        <v>54</v>
      </c>
      <c r="K72" t="s">
        <v>84</v>
      </c>
      <c r="L72" t="s">
        <v>85</v>
      </c>
      <c r="M72" t="s">
        <v>74</v>
      </c>
      <c r="N72" t="s">
        <v>171</v>
      </c>
      <c r="O72" t="s">
        <v>320</v>
      </c>
      <c r="P72" t="s">
        <v>50</v>
      </c>
      <c r="Q72">
        <v>2</v>
      </c>
      <c r="R72">
        <v>905.87</v>
      </c>
      <c r="S72" s="6">
        <v>0.15</v>
      </c>
      <c r="T72" s="6">
        <f t="shared" si="12"/>
        <v>0.15</v>
      </c>
      <c r="U72">
        <v>1539.98</v>
      </c>
      <c r="V72">
        <f t="shared" si="13"/>
        <v>1539.979</v>
      </c>
      <c r="W72" s="6">
        <f t="shared" si="14"/>
        <v>-9.9999999997635314E-4</v>
      </c>
      <c r="X72">
        <v>1070.2</v>
      </c>
      <c r="Y72">
        <v>469.78</v>
      </c>
      <c r="Z72">
        <f t="shared" si="15"/>
        <v>469.779</v>
      </c>
      <c r="AA72" s="6">
        <f t="shared" si="16"/>
        <v>-9.9999999997635314E-4</v>
      </c>
      <c r="AB72">
        <f t="shared" si="17"/>
        <v>0.30505545854846072</v>
      </c>
      <c r="AC72" t="s">
        <v>32</v>
      </c>
      <c r="AD72" t="s">
        <v>33</v>
      </c>
      <c r="AE72" t="s">
        <v>2828</v>
      </c>
    </row>
    <row r="73" spans="1:32">
      <c r="A73" t="s">
        <v>321</v>
      </c>
      <c r="B73" s="3">
        <v>45763</v>
      </c>
      <c r="C73" t="str">
        <f t="shared" si="10"/>
        <v>April</v>
      </c>
      <c r="D73">
        <f t="shared" si="11"/>
        <v>2025</v>
      </c>
      <c r="E73" s="3">
        <v>45770</v>
      </c>
      <c r="F73">
        <f t="shared" si="9"/>
        <v>7</v>
      </c>
      <c r="G73" t="s">
        <v>322</v>
      </c>
      <c r="H73" t="s">
        <v>36</v>
      </c>
      <c r="I73" t="s">
        <v>37</v>
      </c>
      <c r="J73" t="s">
        <v>63</v>
      </c>
      <c r="K73" t="s">
        <v>190</v>
      </c>
      <c r="L73" t="s">
        <v>191</v>
      </c>
      <c r="M73" t="s">
        <v>74</v>
      </c>
      <c r="N73" t="s">
        <v>274</v>
      </c>
      <c r="O73" t="s">
        <v>323</v>
      </c>
      <c r="P73" t="s">
        <v>59</v>
      </c>
      <c r="Q73">
        <v>6</v>
      </c>
      <c r="R73">
        <v>2027.32</v>
      </c>
      <c r="S73" s="6">
        <v>0.1</v>
      </c>
      <c r="T73" s="6">
        <f t="shared" si="12"/>
        <v>0.1</v>
      </c>
      <c r="U73">
        <v>10947.53</v>
      </c>
      <c r="V73">
        <f t="shared" si="13"/>
        <v>10947.528</v>
      </c>
      <c r="W73" s="6">
        <f t="shared" si="14"/>
        <v>-2.0000000004074536E-3</v>
      </c>
      <c r="X73">
        <v>6447.36</v>
      </c>
      <c r="Y73">
        <v>4500.17</v>
      </c>
      <c r="Z73">
        <f t="shared" si="15"/>
        <v>4500.1680000000006</v>
      </c>
      <c r="AA73" s="6">
        <f t="shared" si="16"/>
        <v>-1.9999999994979589E-3</v>
      </c>
      <c r="AB73">
        <f t="shared" si="17"/>
        <v>0.41106704636882413</v>
      </c>
      <c r="AC73" t="s">
        <v>32</v>
      </c>
      <c r="AD73" t="s">
        <v>33</v>
      </c>
      <c r="AE73" t="s">
        <v>2828</v>
      </c>
    </row>
    <row r="74" spans="1:32">
      <c r="A74" t="s">
        <v>324</v>
      </c>
      <c r="B74" s="3">
        <v>45598</v>
      </c>
      <c r="C74" t="str">
        <f t="shared" si="10"/>
        <v>November</v>
      </c>
      <c r="D74">
        <f t="shared" si="11"/>
        <v>2024</v>
      </c>
      <c r="E74" s="3">
        <v>45475</v>
      </c>
      <c r="F74">
        <f t="shared" si="9"/>
        <v>-123</v>
      </c>
      <c r="G74" t="s">
        <v>325</v>
      </c>
      <c r="H74" t="s">
        <v>23</v>
      </c>
      <c r="I74" t="s">
        <v>95</v>
      </c>
      <c r="J74" t="s">
        <v>54</v>
      </c>
      <c r="K74" t="s">
        <v>247</v>
      </c>
      <c r="L74" t="s">
        <v>248</v>
      </c>
      <c r="M74" t="s">
        <v>41</v>
      </c>
      <c r="N74" t="s">
        <v>42</v>
      </c>
      <c r="O74" t="s">
        <v>326</v>
      </c>
      <c r="P74" t="s">
        <v>50</v>
      </c>
      <c r="Q74">
        <v>7</v>
      </c>
      <c r="R74">
        <v>2287.4699999999998</v>
      </c>
      <c r="S74" s="6">
        <v>0.15</v>
      </c>
      <c r="T74" s="6">
        <f t="shared" si="12"/>
        <v>0.15</v>
      </c>
      <c r="U74">
        <v>13610.45</v>
      </c>
      <c r="V74">
        <f t="shared" si="13"/>
        <v>13610.446499999998</v>
      </c>
      <c r="W74" s="6">
        <f t="shared" si="14"/>
        <v>-3.5000000025320332E-3</v>
      </c>
      <c r="X74">
        <v>10039.049999999999</v>
      </c>
      <c r="Y74">
        <v>3571.4</v>
      </c>
      <c r="Z74">
        <f t="shared" si="15"/>
        <v>3571.3964999999989</v>
      </c>
      <c r="AA74" s="6">
        <f t="shared" si="16"/>
        <v>-3.5000000011677912E-3</v>
      </c>
      <c r="AB74">
        <f t="shared" si="17"/>
        <v>0.26240112695788487</v>
      </c>
      <c r="AC74" t="s">
        <v>32</v>
      </c>
      <c r="AD74" t="s">
        <v>33</v>
      </c>
      <c r="AE74" t="s">
        <v>2826</v>
      </c>
      <c r="AF74" s="10" t="s">
        <v>2790</v>
      </c>
    </row>
    <row r="75" spans="1:32">
      <c r="A75" t="s">
        <v>327</v>
      </c>
      <c r="B75" s="3">
        <v>45745</v>
      </c>
      <c r="C75" t="str">
        <f t="shared" si="10"/>
        <v>March</v>
      </c>
      <c r="D75">
        <f t="shared" si="11"/>
        <v>2025</v>
      </c>
      <c r="E75" s="3">
        <v>45750</v>
      </c>
      <c r="F75">
        <f t="shared" si="9"/>
        <v>5</v>
      </c>
      <c r="G75" t="s">
        <v>328</v>
      </c>
      <c r="H75" t="s">
        <v>132</v>
      </c>
      <c r="I75" t="s">
        <v>90</v>
      </c>
      <c r="J75" t="s">
        <v>38</v>
      </c>
      <c r="K75" t="s">
        <v>99</v>
      </c>
      <c r="L75" t="s">
        <v>100</v>
      </c>
      <c r="M75" t="s">
        <v>41</v>
      </c>
      <c r="N75" t="s">
        <v>158</v>
      </c>
      <c r="O75" t="s">
        <v>329</v>
      </c>
      <c r="P75" t="s">
        <v>50</v>
      </c>
      <c r="Q75">
        <v>5</v>
      </c>
      <c r="R75">
        <v>1425.74</v>
      </c>
      <c r="S75" s="6">
        <v>0</v>
      </c>
      <c r="T75" s="6">
        <f t="shared" si="12"/>
        <v>0</v>
      </c>
      <c r="U75">
        <v>7128.7</v>
      </c>
      <c r="V75">
        <f t="shared" si="13"/>
        <v>7128.7</v>
      </c>
      <c r="W75" s="6">
        <f t="shared" si="14"/>
        <v>0</v>
      </c>
      <c r="X75">
        <v>4382.1499999999996</v>
      </c>
      <c r="Y75">
        <v>2746.55</v>
      </c>
      <c r="Z75">
        <f t="shared" si="15"/>
        <v>2746.55</v>
      </c>
      <c r="AA75" s="6">
        <f t="shared" si="16"/>
        <v>0</v>
      </c>
      <c r="AB75">
        <f t="shared" si="17"/>
        <v>0.38528062620113068</v>
      </c>
      <c r="AC75" t="s">
        <v>32</v>
      </c>
      <c r="AD75" t="s">
        <v>33</v>
      </c>
      <c r="AE75" t="s">
        <v>2828</v>
      </c>
    </row>
    <row r="76" spans="1:32">
      <c r="A76" t="s">
        <v>330</v>
      </c>
      <c r="B76" s="3">
        <v>45715</v>
      </c>
      <c r="C76" t="str">
        <f t="shared" si="10"/>
        <v>February</v>
      </c>
      <c r="D76">
        <f t="shared" si="11"/>
        <v>2025</v>
      </c>
      <c r="E76" s="3">
        <v>45660</v>
      </c>
      <c r="F76">
        <f t="shared" si="9"/>
        <v>-55</v>
      </c>
      <c r="G76" t="s">
        <v>331</v>
      </c>
      <c r="H76" t="s">
        <v>71</v>
      </c>
      <c r="I76" t="s">
        <v>37</v>
      </c>
      <c r="J76" t="s">
        <v>38</v>
      </c>
      <c r="K76" t="s">
        <v>99</v>
      </c>
      <c r="L76" t="s">
        <v>100</v>
      </c>
      <c r="M76" t="s">
        <v>41</v>
      </c>
      <c r="N76" t="s">
        <v>66</v>
      </c>
      <c r="O76" t="s">
        <v>332</v>
      </c>
      <c r="P76" t="s">
        <v>59</v>
      </c>
      <c r="Q76">
        <v>6</v>
      </c>
      <c r="R76">
        <v>551.64</v>
      </c>
      <c r="S76" s="6">
        <v>0</v>
      </c>
      <c r="T76" s="6">
        <f t="shared" si="12"/>
        <v>0</v>
      </c>
      <c r="U76">
        <v>3309.84</v>
      </c>
      <c r="V76">
        <f t="shared" si="13"/>
        <v>3309.84</v>
      </c>
      <c r="W76" s="6">
        <f t="shared" si="14"/>
        <v>0</v>
      </c>
      <c r="X76">
        <v>2671.08</v>
      </c>
      <c r="Y76">
        <v>638.76</v>
      </c>
      <c r="Z76">
        <f t="shared" si="15"/>
        <v>638.76000000000022</v>
      </c>
      <c r="AA76" s="6">
        <f t="shared" si="16"/>
        <v>0</v>
      </c>
      <c r="AB76">
        <f t="shared" si="17"/>
        <v>0.19298818069755644</v>
      </c>
      <c r="AC76" t="s">
        <v>32</v>
      </c>
      <c r="AD76" t="s">
        <v>33</v>
      </c>
      <c r="AE76" t="s">
        <v>2826</v>
      </c>
      <c r="AF76" s="10" t="s">
        <v>2790</v>
      </c>
    </row>
    <row r="77" spans="1:32">
      <c r="A77" t="s">
        <v>333</v>
      </c>
      <c r="B77" s="3">
        <v>45891</v>
      </c>
      <c r="C77" t="str">
        <f t="shared" si="10"/>
        <v>August</v>
      </c>
      <c r="D77">
        <f t="shared" si="11"/>
        <v>2025</v>
      </c>
      <c r="E77" s="3">
        <v>45896</v>
      </c>
      <c r="F77">
        <f t="shared" si="9"/>
        <v>5</v>
      </c>
      <c r="G77" t="s">
        <v>334</v>
      </c>
      <c r="H77" t="s">
        <v>114</v>
      </c>
      <c r="I77" t="s">
        <v>37</v>
      </c>
      <c r="J77" t="s">
        <v>38</v>
      </c>
      <c r="K77" t="s">
        <v>39</v>
      </c>
      <c r="L77" t="s">
        <v>40</v>
      </c>
      <c r="M77" t="s">
        <v>28</v>
      </c>
      <c r="N77" t="s">
        <v>91</v>
      </c>
      <c r="O77" t="s">
        <v>335</v>
      </c>
      <c r="P77" t="s">
        <v>50</v>
      </c>
      <c r="Q77">
        <v>3</v>
      </c>
      <c r="R77">
        <v>3294.82</v>
      </c>
      <c r="S77" s="6">
        <v>0.2</v>
      </c>
      <c r="T77" s="6">
        <f t="shared" si="12"/>
        <v>0.2</v>
      </c>
      <c r="U77">
        <v>7907.57</v>
      </c>
      <c r="V77">
        <f t="shared" si="13"/>
        <v>7907.5680000000011</v>
      </c>
      <c r="W77" s="6">
        <f t="shared" si="14"/>
        <v>-1.9999999985884642E-3</v>
      </c>
      <c r="X77">
        <v>5391.18</v>
      </c>
      <c r="Y77">
        <v>2516.39</v>
      </c>
      <c r="Z77">
        <f t="shared" si="15"/>
        <v>2516.3880000000008</v>
      </c>
      <c r="AA77" s="6">
        <f t="shared" si="16"/>
        <v>-1.9999999990432116E-3</v>
      </c>
      <c r="AB77">
        <f t="shared" si="17"/>
        <v>0.31822527482533197</v>
      </c>
      <c r="AC77" t="s">
        <v>32</v>
      </c>
      <c r="AD77" t="s">
        <v>33</v>
      </c>
      <c r="AE77" t="s">
        <v>2828</v>
      </c>
    </row>
    <row r="78" spans="1:32">
      <c r="A78" t="s">
        <v>336</v>
      </c>
      <c r="B78" s="3">
        <v>45362</v>
      </c>
      <c r="C78" t="str">
        <f t="shared" si="10"/>
        <v>March</v>
      </c>
      <c r="D78">
        <f t="shared" si="11"/>
        <v>2024</v>
      </c>
      <c r="E78" s="3">
        <v>45607</v>
      </c>
      <c r="F78">
        <f t="shared" si="9"/>
        <v>245</v>
      </c>
      <c r="G78" t="s">
        <v>337</v>
      </c>
      <c r="H78" t="s">
        <v>62</v>
      </c>
      <c r="I78" t="s">
        <v>90</v>
      </c>
      <c r="J78" t="s">
        <v>38</v>
      </c>
      <c r="K78" t="s">
        <v>228</v>
      </c>
      <c r="L78" t="s">
        <v>229</v>
      </c>
      <c r="M78" t="s">
        <v>28</v>
      </c>
      <c r="N78" t="s">
        <v>91</v>
      </c>
      <c r="O78" t="s">
        <v>338</v>
      </c>
      <c r="P78" t="s">
        <v>31</v>
      </c>
      <c r="Q78">
        <v>3</v>
      </c>
      <c r="R78">
        <v>3406.27</v>
      </c>
      <c r="S78" s="6">
        <v>0</v>
      </c>
      <c r="T78" s="6">
        <f t="shared" si="12"/>
        <v>0</v>
      </c>
      <c r="U78">
        <v>10218.81</v>
      </c>
      <c r="V78">
        <f t="shared" si="13"/>
        <v>10218.81</v>
      </c>
      <c r="W78" s="6">
        <f t="shared" si="14"/>
        <v>0</v>
      </c>
      <c r="X78">
        <v>7616.97</v>
      </c>
      <c r="Y78">
        <v>2601.84</v>
      </c>
      <c r="Z78">
        <f t="shared" si="15"/>
        <v>2601.8399999999992</v>
      </c>
      <c r="AA78" s="6">
        <f t="shared" si="16"/>
        <v>0</v>
      </c>
      <c r="AB78">
        <f t="shared" si="17"/>
        <v>0.2546128169522674</v>
      </c>
      <c r="AC78" t="s">
        <v>32</v>
      </c>
      <c r="AD78" t="s">
        <v>33</v>
      </c>
      <c r="AE78" t="s">
        <v>2828</v>
      </c>
    </row>
    <row r="79" spans="1:32">
      <c r="A79" t="s">
        <v>339</v>
      </c>
      <c r="B79" s="3">
        <v>45846</v>
      </c>
      <c r="C79" t="str">
        <f t="shared" si="10"/>
        <v>July</v>
      </c>
      <c r="D79">
        <f t="shared" si="11"/>
        <v>2025</v>
      </c>
      <c r="E79" s="3">
        <v>45998</v>
      </c>
      <c r="F79">
        <f t="shared" si="9"/>
        <v>152</v>
      </c>
      <c r="G79" t="s">
        <v>340</v>
      </c>
      <c r="H79" t="s">
        <v>141</v>
      </c>
      <c r="I79" t="s">
        <v>95</v>
      </c>
      <c r="J79" t="s">
        <v>25</v>
      </c>
      <c r="K79" t="s">
        <v>136</v>
      </c>
      <c r="L79" t="s">
        <v>137</v>
      </c>
      <c r="M79" t="s">
        <v>41</v>
      </c>
      <c r="N79" t="s">
        <v>57</v>
      </c>
      <c r="O79" t="s">
        <v>341</v>
      </c>
      <c r="P79" t="s">
        <v>59</v>
      </c>
      <c r="Q79">
        <v>1</v>
      </c>
      <c r="R79">
        <v>2582.1999999999998</v>
      </c>
      <c r="S79" s="6">
        <v>0.15</v>
      </c>
      <c r="T79" s="6">
        <f t="shared" si="12"/>
        <v>0.15</v>
      </c>
      <c r="U79">
        <v>2194.87</v>
      </c>
      <c r="V79">
        <f t="shared" si="13"/>
        <v>2194.87</v>
      </c>
      <c r="W79" s="6">
        <f t="shared" si="14"/>
        <v>0</v>
      </c>
      <c r="X79">
        <v>1223.17</v>
      </c>
      <c r="Y79">
        <v>971.7</v>
      </c>
      <c r="Z79">
        <f t="shared" si="15"/>
        <v>971.69999999999982</v>
      </c>
      <c r="AA79" s="6">
        <f t="shared" si="16"/>
        <v>0</v>
      </c>
      <c r="AB79">
        <f t="shared" si="17"/>
        <v>0.44271414707932583</v>
      </c>
      <c r="AC79" t="s">
        <v>102</v>
      </c>
      <c r="AD79" t="s">
        <v>68</v>
      </c>
      <c r="AE79" t="s">
        <v>2827</v>
      </c>
      <c r="AF79" t="s">
        <v>2808</v>
      </c>
    </row>
    <row r="80" spans="1:32">
      <c r="A80" t="s">
        <v>342</v>
      </c>
      <c r="B80" s="3">
        <v>45854</v>
      </c>
      <c r="C80" t="str">
        <f t="shared" si="10"/>
        <v>July</v>
      </c>
      <c r="D80">
        <f t="shared" si="11"/>
        <v>2025</v>
      </c>
      <c r="E80" s="3">
        <v>45859</v>
      </c>
      <c r="F80">
        <f t="shared" si="9"/>
        <v>5</v>
      </c>
      <c r="G80" t="s">
        <v>343</v>
      </c>
      <c r="H80" t="s">
        <v>132</v>
      </c>
      <c r="I80" t="s">
        <v>90</v>
      </c>
      <c r="J80" t="s">
        <v>38</v>
      </c>
      <c r="K80" t="s">
        <v>99</v>
      </c>
      <c r="L80" t="s">
        <v>100</v>
      </c>
      <c r="M80" t="s">
        <v>41</v>
      </c>
      <c r="N80" t="s">
        <v>42</v>
      </c>
      <c r="O80" t="s">
        <v>344</v>
      </c>
      <c r="P80" t="s">
        <v>50</v>
      </c>
      <c r="Q80">
        <v>5</v>
      </c>
      <c r="R80">
        <v>2129.5100000000002</v>
      </c>
      <c r="S80" s="6">
        <v>0.15</v>
      </c>
      <c r="T80" s="6">
        <f t="shared" si="12"/>
        <v>0.15</v>
      </c>
      <c r="U80">
        <v>9050.42</v>
      </c>
      <c r="V80">
        <f t="shared" si="13"/>
        <v>9050.4175000000014</v>
      </c>
      <c r="W80" s="6">
        <f t="shared" si="14"/>
        <v>-2.4999999986903276E-3</v>
      </c>
      <c r="X80">
        <v>6778.85</v>
      </c>
      <c r="Y80">
        <v>2271.5700000000002</v>
      </c>
      <c r="Z80">
        <f t="shared" si="15"/>
        <v>2271.567500000001</v>
      </c>
      <c r="AA80" s="6">
        <f t="shared" si="16"/>
        <v>-2.499999999145075E-3</v>
      </c>
      <c r="AB80">
        <f t="shared" si="17"/>
        <v>0.25099035486484472</v>
      </c>
      <c r="AC80" t="s">
        <v>32</v>
      </c>
      <c r="AD80" t="s">
        <v>33</v>
      </c>
      <c r="AE80" t="s">
        <v>2828</v>
      </c>
    </row>
    <row r="81" spans="1:32">
      <c r="A81" t="s">
        <v>345</v>
      </c>
      <c r="B81" s="3">
        <v>45927</v>
      </c>
      <c r="C81" t="str">
        <f t="shared" si="10"/>
        <v>September</v>
      </c>
      <c r="D81">
        <f t="shared" si="11"/>
        <v>2025</v>
      </c>
      <c r="E81" s="3">
        <v>45726</v>
      </c>
      <c r="F81">
        <f t="shared" si="9"/>
        <v>-201</v>
      </c>
      <c r="G81" t="s">
        <v>346</v>
      </c>
      <c r="H81" t="s">
        <v>162</v>
      </c>
      <c r="I81" t="s">
        <v>95</v>
      </c>
      <c r="J81" t="s">
        <v>54</v>
      </c>
      <c r="K81" t="s">
        <v>247</v>
      </c>
      <c r="L81" t="s">
        <v>248</v>
      </c>
      <c r="M81" t="s">
        <v>41</v>
      </c>
      <c r="N81" t="s">
        <v>66</v>
      </c>
      <c r="O81" t="s">
        <v>347</v>
      </c>
      <c r="P81" t="s">
        <v>44</v>
      </c>
      <c r="Q81">
        <v>9</v>
      </c>
      <c r="R81">
        <v>4131.5200000000004</v>
      </c>
      <c r="S81" s="6">
        <v>0.1</v>
      </c>
      <c r="T81" s="6">
        <f t="shared" si="12"/>
        <v>0.1</v>
      </c>
      <c r="U81">
        <v>33465.31</v>
      </c>
      <c r="V81">
        <f t="shared" si="13"/>
        <v>33465.312000000005</v>
      </c>
      <c r="W81" s="6">
        <f t="shared" si="14"/>
        <v>2.0000000076834112E-3</v>
      </c>
      <c r="X81">
        <v>24781.26</v>
      </c>
      <c r="Y81">
        <v>8684.0499999999993</v>
      </c>
      <c r="Z81">
        <f t="shared" si="15"/>
        <v>8684.052000000007</v>
      </c>
      <c r="AA81" s="6">
        <f t="shared" si="16"/>
        <v>2.0000000076834112E-3</v>
      </c>
      <c r="AB81">
        <f t="shared" si="17"/>
        <v>0.25949412932411942</v>
      </c>
      <c r="AC81" t="s">
        <v>32</v>
      </c>
      <c r="AD81" t="s">
        <v>33</v>
      </c>
      <c r="AE81" t="s">
        <v>2826</v>
      </c>
      <c r="AF81" s="10" t="s">
        <v>2790</v>
      </c>
    </row>
    <row r="82" spans="1:32">
      <c r="A82" t="s">
        <v>348</v>
      </c>
      <c r="B82" s="3">
        <v>45573</v>
      </c>
      <c r="C82" t="str">
        <f t="shared" si="10"/>
        <v>October</v>
      </c>
      <c r="D82">
        <f t="shared" si="11"/>
        <v>2024</v>
      </c>
      <c r="E82" s="3">
        <v>45518</v>
      </c>
      <c r="F82">
        <f t="shared" si="9"/>
        <v>-55</v>
      </c>
      <c r="G82" t="s">
        <v>349</v>
      </c>
      <c r="H82" t="s">
        <v>128</v>
      </c>
      <c r="I82" t="s">
        <v>37</v>
      </c>
      <c r="J82" t="s">
        <v>25</v>
      </c>
      <c r="K82" t="s">
        <v>350</v>
      </c>
      <c r="L82" t="s">
        <v>351</v>
      </c>
      <c r="M82" t="s">
        <v>28</v>
      </c>
      <c r="N82" t="s">
        <v>124</v>
      </c>
      <c r="O82" t="s">
        <v>352</v>
      </c>
      <c r="P82" t="s">
        <v>31</v>
      </c>
      <c r="Q82">
        <v>4</v>
      </c>
      <c r="R82">
        <v>1182.32</v>
      </c>
      <c r="S82" s="6">
        <v>0.1</v>
      </c>
      <c r="T82" s="6">
        <f t="shared" si="12"/>
        <v>0.1</v>
      </c>
      <c r="U82">
        <v>4256.3500000000004</v>
      </c>
      <c r="V82">
        <f t="shared" si="13"/>
        <v>4256.3519999999999</v>
      </c>
      <c r="W82" s="6">
        <f t="shared" si="14"/>
        <v>1.9999999994979589E-3</v>
      </c>
      <c r="X82">
        <v>2495.33</v>
      </c>
      <c r="Y82">
        <v>1761.02</v>
      </c>
      <c r="Z82">
        <f t="shared" si="15"/>
        <v>1761.0219999999999</v>
      </c>
      <c r="AA82" s="6">
        <f t="shared" si="16"/>
        <v>1.9999999999527063E-3</v>
      </c>
      <c r="AB82">
        <f t="shared" si="17"/>
        <v>0.41373974708858663</v>
      </c>
      <c r="AC82" t="s">
        <v>111</v>
      </c>
      <c r="AD82" t="s">
        <v>103</v>
      </c>
      <c r="AE82" t="s">
        <v>2826</v>
      </c>
      <c r="AF82" s="10" t="s">
        <v>2815</v>
      </c>
    </row>
    <row r="83" spans="1:32">
      <c r="A83" t="s">
        <v>353</v>
      </c>
      <c r="B83" s="3">
        <v>45732</v>
      </c>
      <c r="C83" t="str">
        <f t="shared" si="10"/>
        <v>March</v>
      </c>
      <c r="D83">
        <f t="shared" si="11"/>
        <v>2025</v>
      </c>
      <c r="E83" s="3">
        <v>45733</v>
      </c>
      <c r="F83">
        <f t="shared" si="9"/>
        <v>1</v>
      </c>
      <c r="G83" t="s">
        <v>354</v>
      </c>
      <c r="H83" t="s">
        <v>23</v>
      </c>
      <c r="I83" t="s">
        <v>95</v>
      </c>
      <c r="J83" t="s">
        <v>63</v>
      </c>
      <c r="K83" t="s">
        <v>190</v>
      </c>
      <c r="L83" t="s">
        <v>191</v>
      </c>
      <c r="M83" t="s">
        <v>28</v>
      </c>
      <c r="N83" t="s">
        <v>91</v>
      </c>
      <c r="O83" t="s">
        <v>355</v>
      </c>
      <c r="P83" t="s">
        <v>44</v>
      </c>
      <c r="Q83">
        <v>3</v>
      </c>
      <c r="R83">
        <v>1841.91</v>
      </c>
      <c r="S83" s="6">
        <v>0</v>
      </c>
      <c r="T83" s="6">
        <f t="shared" si="12"/>
        <v>0</v>
      </c>
      <c r="U83">
        <v>5525.73</v>
      </c>
      <c r="V83">
        <f t="shared" si="13"/>
        <v>5525.7300000000005</v>
      </c>
      <c r="W83" s="6">
        <f t="shared" si="14"/>
        <v>0</v>
      </c>
      <c r="X83">
        <v>3093.42</v>
      </c>
      <c r="Y83">
        <v>2432.31</v>
      </c>
      <c r="Z83">
        <f t="shared" si="15"/>
        <v>2432.3100000000004</v>
      </c>
      <c r="AA83" s="6">
        <f t="shared" si="16"/>
        <v>0</v>
      </c>
      <c r="AB83">
        <f t="shared" si="17"/>
        <v>0.44017894468242208</v>
      </c>
      <c r="AC83" t="s">
        <v>32</v>
      </c>
      <c r="AD83" t="s">
        <v>33</v>
      </c>
      <c r="AE83" t="s">
        <v>2828</v>
      </c>
    </row>
    <row r="84" spans="1:32">
      <c r="A84" t="s">
        <v>356</v>
      </c>
      <c r="B84" s="3">
        <v>45359</v>
      </c>
      <c r="C84" t="str">
        <f t="shared" si="10"/>
        <v>March</v>
      </c>
      <c r="D84">
        <f t="shared" si="11"/>
        <v>2024</v>
      </c>
      <c r="E84" s="3">
        <v>45390</v>
      </c>
      <c r="F84">
        <f t="shared" si="9"/>
        <v>31</v>
      </c>
      <c r="G84" t="s">
        <v>357</v>
      </c>
      <c r="H84" t="s">
        <v>53</v>
      </c>
      <c r="I84" t="s">
        <v>24</v>
      </c>
      <c r="J84" t="s">
        <v>25</v>
      </c>
      <c r="K84" t="s">
        <v>136</v>
      </c>
      <c r="L84" t="s">
        <v>137</v>
      </c>
      <c r="M84" t="s">
        <v>74</v>
      </c>
      <c r="N84" t="s">
        <v>80</v>
      </c>
      <c r="O84" t="s">
        <v>358</v>
      </c>
      <c r="P84" t="s">
        <v>31</v>
      </c>
      <c r="Q84">
        <v>6</v>
      </c>
      <c r="R84">
        <v>1001.73</v>
      </c>
      <c r="S84" s="6">
        <v>0</v>
      </c>
      <c r="T84" s="6">
        <f t="shared" si="12"/>
        <v>0</v>
      </c>
      <c r="U84">
        <v>6010.38</v>
      </c>
      <c r="V84">
        <f t="shared" si="13"/>
        <v>6010.38</v>
      </c>
      <c r="W84" s="6">
        <f t="shared" si="14"/>
        <v>0</v>
      </c>
      <c r="X84">
        <v>3762.85</v>
      </c>
      <c r="Y84">
        <v>2247.5300000000002</v>
      </c>
      <c r="Z84">
        <f t="shared" si="15"/>
        <v>2247.5300000000002</v>
      </c>
      <c r="AA84" s="6">
        <f t="shared" si="16"/>
        <v>0</v>
      </c>
      <c r="AB84">
        <f t="shared" si="17"/>
        <v>0.37394141468592673</v>
      </c>
      <c r="AC84" t="s">
        <v>155</v>
      </c>
      <c r="AD84" t="s">
        <v>103</v>
      </c>
      <c r="AE84" t="s">
        <v>2827</v>
      </c>
      <c r="AF84" s="10" t="s">
        <v>2821</v>
      </c>
    </row>
    <row r="85" spans="1:32">
      <c r="A85" t="s">
        <v>359</v>
      </c>
      <c r="B85" s="3">
        <v>45591</v>
      </c>
      <c r="C85" t="str">
        <f t="shared" si="10"/>
        <v>October</v>
      </c>
      <c r="D85">
        <f t="shared" si="11"/>
        <v>2024</v>
      </c>
      <c r="E85" s="3">
        <v>45594</v>
      </c>
      <c r="F85">
        <f t="shared" si="9"/>
        <v>3</v>
      </c>
      <c r="G85" t="s">
        <v>360</v>
      </c>
      <c r="H85" t="s">
        <v>89</v>
      </c>
      <c r="I85" t="s">
        <v>95</v>
      </c>
      <c r="J85" t="s">
        <v>63</v>
      </c>
      <c r="K85" t="s">
        <v>64</v>
      </c>
      <c r="L85" t="s">
        <v>65</v>
      </c>
      <c r="M85" t="s">
        <v>41</v>
      </c>
      <c r="N85" t="s">
        <v>42</v>
      </c>
      <c r="O85" t="s">
        <v>361</v>
      </c>
      <c r="P85" t="s">
        <v>31</v>
      </c>
      <c r="Q85">
        <v>9</v>
      </c>
      <c r="R85">
        <v>131.74</v>
      </c>
      <c r="S85" s="6">
        <v>0.2</v>
      </c>
      <c r="T85" s="6">
        <f t="shared" si="12"/>
        <v>0.2</v>
      </c>
      <c r="U85">
        <v>948.53</v>
      </c>
      <c r="V85">
        <f t="shared" si="13"/>
        <v>948.52800000000013</v>
      </c>
      <c r="W85" s="6">
        <f t="shared" si="14"/>
        <v>-1.9999999998390194E-3</v>
      </c>
      <c r="X85">
        <v>674.62</v>
      </c>
      <c r="Y85">
        <v>273.91000000000003</v>
      </c>
      <c r="Z85">
        <f t="shared" si="15"/>
        <v>273.90800000000013</v>
      </c>
      <c r="AA85" s="6">
        <f t="shared" si="16"/>
        <v>-1.9999999998958629E-3</v>
      </c>
      <c r="AB85">
        <f t="shared" si="17"/>
        <v>0.28877165460587362</v>
      </c>
      <c r="AC85" t="s">
        <v>32</v>
      </c>
      <c r="AD85" t="s">
        <v>33</v>
      </c>
      <c r="AE85" t="s">
        <v>2828</v>
      </c>
    </row>
    <row r="86" spans="1:32">
      <c r="A86" t="s">
        <v>362</v>
      </c>
      <c r="B86" s="3">
        <v>45301</v>
      </c>
      <c r="C86" t="str">
        <f t="shared" si="10"/>
        <v>January</v>
      </c>
      <c r="D86">
        <f t="shared" si="11"/>
        <v>2024</v>
      </c>
      <c r="E86" s="3">
        <v>45361</v>
      </c>
      <c r="F86">
        <f t="shared" si="9"/>
        <v>60</v>
      </c>
      <c r="G86" t="s">
        <v>363</v>
      </c>
      <c r="H86" t="s">
        <v>141</v>
      </c>
      <c r="I86" t="s">
        <v>90</v>
      </c>
      <c r="J86" t="s">
        <v>54</v>
      </c>
      <c r="K86" t="s">
        <v>247</v>
      </c>
      <c r="L86" t="s">
        <v>248</v>
      </c>
      <c r="M86" t="s">
        <v>74</v>
      </c>
      <c r="N86" t="s">
        <v>171</v>
      </c>
      <c r="O86" t="s">
        <v>364</v>
      </c>
      <c r="P86" t="s">
        <v>31</v>
      </c>
      <c r="Q86">
        <v>6</v>
      </c>
      <c r="R86">
        <v>570.28</v>
      </c>
      <c r="S86" s="6">
        <v>0.2</v>
      </c>
      <c r="T86" s="6">
        <f t="shared" si="12"/>
        <v>0.2</v>
      </c>
      <c r="U86">
        <v>2737.34</v>
      </c>
      <c r="V86">
        <f t="shared" si="13"/>
        <v>2737.3440000000001</v>
      </c>
      <c r="W86" s="6">
        <f t="shared" si="14"/>
        <v>3.9999999999054126E-3</v>
      </c>
      <c r="X86">
        <v>2085.44</v>
      </c>
      <c r="Y86">
        <v>651.9</v>
      </c>
      <c r="Z86">
        <f t="shared" si="15"/>
        <v>651.904</v>
      </c>
      <c r="AA86" s="6">
        <f t="shared" si="16"/>
        <v>4.0000000000190994E-3</v>
      </c>
      <c r="AB86">
        <f t="shared" si="17"/>
        <v>0.23815201889130486</v>
      </c>
      <c r="AC86" t="s">
        <v>32</v>
      </c>
      <c r="AD86" t="s">
        <v>33</v>
      </c>
      <c r="AE86" t="s">
        <v>2828</v>
      </c>
    </row>
    <row r="87" spans="1:32">
      <c r="A87" t="s">
        <v>365</v>
      </c>
      <c r="B87" s="3">
        <v>45503</v>
      </c>
      <c r="C87" t="str">
        <f t="shared" si="10"/>
        <v>July</v>
      </c>
      <c r="D87">
        <f t="shared" si="11"/>
        <v>2024</v>
      </c>
      <c r="E87" s="3">
        <v>45509</v>
      </c>
      <c r="F87">
        <f t="shared" si="9"/>
        <v>6</v>
      </c>
      <c r="G87" t="s">
        <v>366</v>
      </c>
      <c r="H87" t="s">
        <v>264</v>
      </c>
      <c r="I87" t="s">
        <v>90</v>
      </c>
      <c r="J87" t="s">
        <v>25</v>
      </c>
      <c r="K87" t="s">
        <v>350</v>
      </c>
      <c r="L87" t="s">
        <v>351</v>
      </c>
      <c r="M87" t="s">
        <v>28</v>
      </c>
      <c r="N87" t="s">
        <v>153</v>
      </c>
      <c r="O87" t="s">
        <v>367</v>
      </c>
      <c r="P87" t="s">
        <v>59</v>
      </c>
      <c r="Q87">
        <v>1</v>
      </c>
      <c r="R87">
        <v>608.64</v>
      </c>
      <c r="S87" s="6">
        <v>0</v>
      </c>
      <c r="T87" s="6">
        <f t="shared" si="12"/>
        <v>0</v>
      </c>
      <c r="U87">
        <v>608.64</v>
      </c>
      <c r="V87">
        <f t="shared" si="13"/>
        <v>608.64</v>
      </c>
      <c r="W87" s="6">
        <f t="shared" si="14"/>
        <v>0</v>
      </c>
      <c r="X87">
        <v>343.99</v>
      </c>
      <c r="Y87">
        <v>264.64999999999998</v>
      </c>
      <c r="Z87">
        <f t="shared" si="15"/>
        <v>264.64999999999998</v>
      </c>
      <c r="AA87" s="6">
        <f t="shared" si="16"/>
        <v>0</v>
      </c>
      <c r="AB87">
        <f t="shared" si="17"/>
        <v>0.43482189800210302</v>
      </c>
      <c r="AC87" t="s">
        <v>32</v>
      </c>
      <c r="AD87" t="s">
        <v>68</v>
      </c>
      <c r="AE87" t="s">
        <v>2827</v>
      </c>
      <c r="AF87" t="s">
        <v>2795</v>
      </c>
    </row>
    <row r="88" spans="1:32">
      <c r="A88" t="s">
        <v>368</v>
      </c>
      <c r="B88" s="3">
        <v>45298</v>
      </c>
      <c r="C88" t="str">
        <f t="shared" si="10"/>
        <v>January</v>
      </c>
      <c r="D88">
        <f t="shared" si="11"/>
        <v>2024</v>
      </c>
      <c r="E88" s="3">
        <v>45298</v>
      </c>
      <c r="F88">
        <f t="shared" si="9"/>
        <v>0</v>
      </c>
      <c r="G88" t="s">
        <v>369</v>
      </c>
      <c r="H88" t="s">
        <v>62</v>
      </c>
      <c r="I88" t="s">
        <v>37</v>
      </c>
      <c r="J88" t="s">
        <v>25</v>
      </c>
      <c r="K88" t="s">
        <v>350</v>
      </c>
      <c r="L88" t="s">
        <v>351</v>
      </c>
      <c r="M88" t="s">
        <v>74</v>
      </c>
      <c r="N88" t="s">
        <v>80</v>
      </c>
      <c r="O88" t="s">
        <v>370</v>
      </c>
      <c r="P88" t="s">
        <v>31</v>
      </c>
      <c r="Q88">
        <v>3</v>
      </c>
      <c r="R88">
        <v>885.28</v>
      </c>
      <c r="S88" s="6">
        <v>0.1</v>
      </c>
      <c r="T88" s="6">
        <f t="shared" si="12"/>
        <v>0.1</v>
      </c>
      <c r="U88">
        <v>2390.2600000000002</v>
      </c>
      <c r="V88">
        <f t="shared" si="13"/>
        <v>2390.2560000000003</v>
      </c>
      <c r="W88" s="6">
        <f t="shared" si="14"/>
        <v>-3.9999999999054126E-3</v>
      </c>
      <c r="X88">
        <v>1495.94</v>
      </c>
      <c r="Y88">
        <v>894.32</v>
      </c>
      <c r="Z88">
        <f t="shared" si="15"/>
        <v>894.31600000000026</v>
      </c>
      <c r="AA88" s="6">
        <f t="shared" si="16"/>
        <v>-3.9999999997917257E-3</v>
      </c>
      <c r="AB88">
        <f t="shared" si="17"/>
        <v>0.37415071858411825</v>
      </c>
      <c r="AC88" t="s">
        <v>102</v>
      </c>
      <c r="AD88" t="s">
        <v>68</v>
      </c>
      <c r="AE88" t="s">
        <v>2827</v>
      </c>
      <c r="AF88" t="s">
        <v>2808</v>
      </c>
    </row>
    <row r="89" spans="1:32">
      <c r="A89" t="s">
        <v>371</v>
      </c>
      <c r="B89" s="3">
        <v>45330</v>
      </c>
      <c r="C89" t="str">
        <f t="shared" si="10"/>
        <v>February</v>
      </c>
      <c r="D89">
        <f t="shared" si="11"/>
        <v>2024</v>
      </c>
      <c r="E89" s="3">
        <v>45359</v>
      </c>
      <c r="F89">
        <f t="shared" si="9"/>
        <v>29</v>
      </c>
      <c r="G89" t="s">
        <v>372</v>
      </c>
      <c r="H89" t="s">
        <v>71</v>
      </c>
      <c r="I89" t="s">
        <v>24</v>
      </c>
      <c r="J89" t="s">
        <v>38</v>
      </c>
      <c r="K89" t="s">
        <v>166</v>
      </c>
      <c r="L89" t="s">
        <v>167</v>
      </c>
      <c r="M89" t="s">
        <v>28</v>
      </c>
      <c r="N89" t="s">
        <v>153</v>
      </c>
      <c r="O89" t="s">
        <v>373</v>
      </c>
      <c r="P89" t="s">
        <v>59</v>
      </c>
      <c r="Q89">
        <v>7</v>
      </c>
      <c r="R89">
        <v>3345.22</v>
      </c>
      <c r="S89" s="6">
        <v>0</v>
      </c>
      <c r="T89" s="6">
        <f t="shared" si="12"/>
        <v>0</v>
      </c>
      <c r="U89">
        <v>23416.54</v>
      </c>
      <c r="V89">
        <f t="shared" si="13"/>
        <v>23416.539999999997</v>
      </c>
      <c r="W89" s="6">
        <f t="shared" si="14"/>
        <v>0</v>
      </c>
      <c r="X89">
        <v>15490.89</v>
      </c>
      <c r="Y89">
        <v>7925.65</v>
      </c>
      <c r="Z89">
        <f t="shared" si="15"/>
        <v>7925.6499999999978</v>
      </c>
      <c r="AA89" s="6">
        <f t="shared" si="16"/>
        <v>0</v>
      </c>
      <c r="AB89">
        <f t="shared" si="17"/>
        <v>0.33846375254414185</v>
      </c>
      <c r="AC89" t="s">
        <v>32</v>
      </c>
      <c r="AD89" t="s">
        <v>33</v>
      </c>
      <c r="AE89" t="s">
        <v>2828</v>
      </c>
    </row>
    <row r="90" spans="1:32">
      <c r="A90" t="s">
        <v>374</v>
      </c>
      <c r="B90" s="3">
        <v>45375</v>
      </c>
      <c r="C90" t="str">
        <f t="shared" si="10"/>
        <v>March</v>
      </c>
      <c r="D90">
        <f t="shared" si="11"/>
        <v>2024</v>
      </c>
      <c r="E90" s="3">
        <v>45378</v>
      </c>
      <c r="F90">
        <f t="shared" si="9"/>
        <v>3</v>
      </c>
      <c r="G90" t="s">
        <v>375</v>
      </c>
      <c r="H90" t="s">
        <v>141</v>
      </c>
      <c r="I90" t="s">
        <v>37</v>
      </c>
      <c r="J90" t="s">
        <v>63</v>
      </c>
      <c r="K90" t="s">
        <v>64</v>
      </c>
      <c r="L90" t="s">
        <v>65</v>
      </c>
      <c r="M90" t="s">
        <v>41</v>
      </c>
      <c r="N90" t="s">
        <v>158</v>
      </c>
      <c r="O90" t="s">
        <v>376</v>
      </c>
      <c r="P90" t="s">
        <v>59</v>
      </c>
      <c r="Q90">
        <v>2</v>
      </c>
      <c r="R90">
        <v>3284.75</v>
      </c>
      <c r="S90" s="6">
        <v>0.05</v>
      </c>
      <c r="T90" s="6">
        <f t="shared" si="12"/>
        <v>0.05</v>
      </c>
      <c r="U90">
        <v>6241.02</v>
      </c>
      <c r="V90">
        <f t="shared" si="13"/>
        <v>6241.0249999999996</v>
      </c>
      <c r="W90" s="6">
        <f t="shared" si="14"/>
        <v>4.9999999991996447E-3</v>
      </c>
      <c r="X90">
        <v>5345.88</v>
      </c>
      <c r="Y90">
        <v>895.14</v>
      </c>
      <c r="Z90">
        <f t="shared" si="15"/>
        <v>895.14499999999953</v>
      </c>
      <c r="AA90" s="6">
        <f t="shared" si="16"/>
        <v>4.9999999995407052E-3</v>
      </c>
      <c r="AB90">
        <f t="shared" si="17"/>
        <v>0.14342916427990587</v>
      </c>
      <c r="AC90" t="s">
        <v>32</v>
      </c>
      <c r="AD90" t="s">
        <v>33</v>
      </c>
      <c r="AE90" t="s">
        <v>2828</v>
      </c>
    </row>
    <row r="91" spans="1:32">
      <c r="A91" t="s">
        <v>377</v>
      </c>
      <c r="B91" s="3">
        <v>45421</v>
      </c>
      <c r="C91" t="str">
        <f t="shared" si="10"/>
        <v>May</v>
      </c>
      <c r="D91">
        <f t="shared" si="11"/>
        <v>2024</v>
      </c>
      <c r="E91" s="3">
        <v>45421</v>
      </c>
      <c r="F91">
        <f t="shared" si="9"/>
        <v>0</v>
      </c>
      <c r="G91" t="s">
        <v>378</v>
      </c>
      <c r="H91" t="s">
        <v>264</v>
      </c>
      <c r="I91" t="s">
        <v>24</v>
      </c>
      <c r="J91" t="s">
        <v>54</v>
      </c>
      <c r="K91" t="s">
        <v>84</v>
      </c>
      <c r="L91" t="s">
        <v>85</v>
      </c>
      <c r="M91" t="s">
        <v>41</v>
      </c>
      <c r="N91" t="s">
        <v>158</v>
      </c>
      <c r="O91" t="s">
        <v>379</v>
      </c>
      <c r="P91" t="s">
        <v>59</v>
      </c>
      <c r="Q91">
        <v>7</v>
      </c>
      <c r="R91">
        <v>3761.09</v>
      </c>
      <c r="S91" s="6">
        <v>0.2</v>
      </c>
      <c r="T91" s="6">
        <f t="shared" si="12"/>
        <v>0.2</v>
      </c>
      <c r="U91">
        <v>21062.1</v>
      </c>
      <c r="V91">
        <f t="shared" si="13"/>
        <v>21062.104000000003</v>
      </c>
      <c r="W91" s="6">
        <f t="shared" si="14"/>
        <v>4.0000000044528861E-3</v>
      </c>
      <c r="X91">
        <v>12057.13</v>
      </c>
      <c r="Y91">
        <v>9004.9699999999993</v>
      </c>
      <c r="Z91">
        <f t="shared" si="15"/>
        <v>9004.9740000000038</v>
      </c>
      <c r="AA91" s="6">
        <f t="shared" si="16"/>
        <v>4.0000000044528861E-3</v>
      </c>
      <c r="AB91">
        <f t="shared" si="17"/>
        <v>0.42754389589947911</v>
      </c>
      <c r="AC91" t="s">
        <v>111</v>
      </c>
      <c r="AD91" t="s">
        <v>68</v>
      </c>
      <c r="AE91" t="s">
        <v>2827</v>
      </c>
      <c r="AF91" t="s">
        <v>2804</v>
      </c>
    </row>
    <row r="92" spans="1:32">
      <c r="A92" t="s">
        <v>380</v>
      </c>
      <c r="B92" s="3">
        <v>45893</v>
      </c>
      <c r="C92" t="str">
        <f t="shared" si="10"/>
        <v>August</v>
      </c>
      <c r="D92">
        <f t="shared" si="11"/>
        <v>2025</v>
      </c>
      <c r="E92" s="3">
        <v>45898</v>
      </c>
      <c r="F92">
        <f t="shared" si="9"/>
        <v>5</v>
      </c>
      <c r="G92" t="s">
        <v>381</v>
      </c>
      <c r="H92" t="s">
        <v>128</v>
      </c>
      <c r="I92" t="s">
        <v>37</v>
      </c>
      <c r="J92" t="s">
        <v>38</v>
      </c>
      <c r="K92" t="s">
        <v>145</v>
      </c>
      <c r="L92" t="s">
        <v>146</v>
      </c>
      <c r="M92" t="s">
        <v>74</v>
      </c>
      <c r="N92" t="s">
        <v>80</v>
      </c>
      <c r="O92" t="s">
        <v>382</v>
      </c>
      <c r="P92" t="s">
        <v>50</v>
      </c>
      <c r="Q92">
        <v>3</v>
      </c>
      <c r="R92">
        <v>3703.96</v>
      </c>
      <c r="S92" s="6">
        <v>0.15</v>
      </c>
      <c r="T92" s="6">
        <f t="shared" si="12"/>
        <v>0.15</v>
      </c>
      <c r="U92">
        <v>9445.1</v>
      </c>
      <c r="V92">
        <f t="shared" si="13"/>
        <v>9445.098</v>
      </c>
      <c r="W92" s="6">
        <f t="shared" si="14"/>
        <v>-2.0000000004074536E-3</v>
      </c>
      <c r="X92">
        <v>5586.28</v>
      </c>
      <c r="Y92">
        <v>3858.82</v>
      </c>
      <c r="Z92">
        <f t="shared" si="15"/>
        <v>3858.8180000000002</v>
      </c>
      <c r="AA92" s="6">
        <f t="shared" si="16"/>
        <v>-1.9999999999527063E-3</v>
      </c>
      <c r="AB92">
        <f t="shared" si="17"/>
        <v>0.40855245758170006</v>
      </c>
      <c r="AC92" t="s">
        <v>32</v>
      </c>
      <c r="AD92" t="s">
        <v>33</v>
      </c>
      <c r="AE92" t="s">
        <v>2826</v>
      </c>
      <c r="AF92" s="10" t="s">
        <v>2800</v>
      </c>
    </row>
    <row r="93" spans="1:32">
      <c r="A93" t="s">
        <v>383</v>
      </c>
      <c r="B93" s="3">
        <v>45691</v>
      </c>
      <c r="C93" t="str">
        <f t="shared" si="10"/>
        <v>February</v>
      </c>
      <c r="D93">
        <f t="shared" si="11"/>
        <v>2025</v>
      </c>
      <c r="E93" s="3">
        <v>45724</v>
      </c>
      <c r="F93">
        <f t="shared" si="9"/>
        <v>33</v>
      </c>
      <c r="G93" t="s">
        <v>384</v>
      </c>
      <c r="H93" t="s">
        <v>132</v>
      </c>
      <c r="I93" t="s">
        <v>90</v>
      </c>
      <c r="J93" t="s">
        <v>63</v>
      </c>
      <c r="K93" t="s">
        <v>72</v>
      </c>
      <c r="L93" t="s">
        <v>73</v>
      </c>
      <c r="M93" t="s">
        <v>74</v>
      </c>
      <c r="N93" t="s">
        <v>80</v>
      </c>
      <c r="O93" t="s">
        <v>385</v>
      </c>
      <c r="P93" t="s">
        <v>31</v>
      </c>
      <c r="Q93">
        <v>9</v>
      </c>
      <c r="R93">
        <v>269.68</v>
      </c>
      <c r="S93" s="6">
        <v>0</v>
      </c>
      <c r="T93" s="6">
        <f t="shared" si="12"/>
        <v>0</v>
      </c>
      <c r="U93">
        <v>2427.12</v>
      </c>
      <c r="V93">
        <f t="shared" si="13"/>
        <v>2427.12</v>
      </c>
      <c r="W93" s="6">
        <f t="shared" si="14"/>
        <v>0</v>
      </c>
      <c r="X93">
        <v>1538.35</v>
      </c>
      <c r="Y93">
        <v>804.53</v>
      </c>
      <c r="Z93">
        <f t="shared" si="15"/>
        <v>888.77</v>
      </c>
      <c r="AA93" s="6">
        <f t="shared" si="16"/>
        <v>84.240000000000009</v>
      </c>
      <c r="AB93">
        <f t="shared" si="17"/>
        <v>0.36618296581957216</v>
      </c>
      <c r="AC93" t="s">
        <v>32</v>
      </c>
      <c r="AD93" t="s">
        <v>33</v>
      </c>
      <c r="AE93" t="s">
        <v>2828</v>
      </c>
    </row>
    <row r="94" spans="1:32">
      <c r="A94" t="s">
        <v>386</v>
      </c>
      <c r="B94" s="3">
        <v>45680</v>
      </c>
      <c r="C94" t="str">
        <f t="shared" si="10"/>
        <v>January</v>
      </c>
      <c r="D94">
        <f t="shared" si="11"/>
        <v>2025</v>
      </c>
      <c r="E94" s="3">
        <v>45683</v>
      </c>
      <c r="F94">
        <f t="shared" si="9"/>
        <v>3</v>
      </c>
      <c r="G94" t="s">
        <v>387</v>
      </c>
      <c r="H94" t="s">
        <v>128</v>
      </c>
      <c r="I94" t="s">
        <v>24</v>
      </c>
      <c r="J94" t="s">
        <v>63</v>
      </c>
      <c r="K94" t="s">
        <v>72</v>
      </c>
      <c r="L94" t="s">
        <v>73</v>
      </c>
      <c r="M94" t="s">
        <v>28</v>
      </c>
      <c r="N94" t="s">
        <v>29</v>
      </c>
      <c r="O94" t="s">
        <v>388</v>
      </c>
      <c r="P94" t="s">
        <v>59</v>
      </c>
      <c r="Q94">
        <v>9</v>
      </c>
      <c r="R94">
        <v>4458.26</v>
      </c>
      <c r="S94" s="6">
        <v>0.1</v>
      </c>
      <c r="T94" s="6">
        <f t="shared" si="12"/>
        <v>0.1</v>
      </c>
      <c r="U94">
        <v>36111.910000000003</v>
      </c>
      <c r="V94">
        <f t="shared" si="13"/>
        <v>36111.906000000003</v>
      </c>
      <c r="W94" s="6">
        <f t="shared" si="14"/>
        <v>-4.0000000008149073E-3</v>
      </c>
      <c r="X94">
        <v>29194.5</v>
      </c>
      <c r="Y94">
        <v>6917.41</v>
      </c>
      <c r="Z94">
        <f t="shared" si="15"/>
        <v>6917.4060000000027</v>
      </c>
      <c r="AA94" s="6">
        <f t="shared" si="16"/>
        <v>-3.9999999971769284E-3</v>
      </c>
      <c r="AB94">
        <f t="shared" si="17"/>
        <v>0.19155471882320479</v>
      </c>
      <c r="AC94" t="s">
        <v>32</v>
      </c>
      <c r="AD94" t="s">
        <v>33</v>
      </c>
      <c r="AE94" t="s">
        <v>2828</v>
      </c>
    </row>
    <row r="95" spans="1:32">
      <c r="A95" t="s">
        <v>389</v>
      </c>
      <c r="B95" s="3">
        <v>45298</v>
      </c>
      <c r="C95" t="str">
        <f t="shared" si="10"/>
        <v>January</v>
      </c>
      <c r="D95">
        <f t="shared" si="11"/>
        <v>2024</v>
      </c>
      <c r="E95" s="3">
        <v>45304</v>
      </c>
      <c r="F95">
        <f t="shared" si="9"/>
        <v>6</v>
      </c>
      <c r="G95" t="s">
        <v>390</v>
      </c>
      <c r="H95" t="s">
        <v>141</v>
      </c>
      <c r="I95" t="s">
        <v>90</v>
      </c>
      <c r="J95" t="s">
        <v>25</v>
      </c>
      <c r="K95" t="s">
        <v>136</v>
      </c>
      <c r="L95" t="s">
        <v>137</v>
      </c>
      <c r="M95" t="s">
        <v>28</v>
      </c>
      <c r="N95" t="s">
        <v>153</v>
      </c>
      <c r="O95" t="s">
        <v>391</v>
      </c>
      <c r="P95" t="s">
        <v>59</v>
      </c>
      <c r="Q95">
        <v>7</v>
      </c>
      <c r="R95">
        <v>2788.97</v>
      </c>
      <c r="S95" s="6">
        <v>-0.09</v>
      </c>
      <c r="T95" s="6">
        <f t="shared" si="12"/>
        <v>0.09</v>
      </c>
      <c r="U95">
        <v>19522.79</v>
      </c>
      <c r="V95">
        <f t="shared" si="13"/>
        <v>17765.738899999997</v>
      </c>
      <c r="W95" s="6">
        <f t="shared" si="14"/>
        <v>-1757.0511000000042</v>
      </c>
      <c r="X95">
        <v>12455.78</v>
      </c>
      <c r="Y95">
        <v>7067.01</v>
      </c>
      <c r="Z95">
        <f t="shared" si="15"/>
        <v>5309.958899999996</v>
      </c>
      <c r="AA95" s="6">
        <f t="shared" si="16"/>
        <v>-1757.0511000000042</v>
      </c>
      <c r="AB95">
        <f t="shared" si="17"/>
        <v>0.29888759087864319</v>
      </c>
      <c r="AC95" t="s">
        <v>32</v>
      </c>
      <c r="AD95" t="s">
        <v>33</v>
      </c>
      <c r="AE95" t="s">
        <v>2826</v>
      </c>
      <c r="AF95" s="10" t="s">
        <v>2791</v>
      </c>
    </row>
    <row r="96" spans="1:32">
      <c r="A96" t="s">
        <v>392</v>
      </c>
      <c r="B96" s="3">
        <v>45541</v>
      </c>
      <c r="C96" t="str">
        <f t="shared" si="10"/>
        <v>September</v>
      </c>
      <c r="D96">
        <f t="shared" si="11"/>
        <v>2024</v>
      </c>
      <c r="E96" s="3">
        <v>45544</v>
      </c>
      <c r="F96">
        <f t="shared" si="9"/>
        <v>3</v>
      </c>
      <c r="G96" t="s">
        <v>393</v>
      </c>
      <c r="H96" t="s">
        <v>162</v>
      </c>
      <c r="I96" t="s">
        <v>24</v>
      </c>
      <c r="J96" t="s">
        <v>25</v>
      </c>
      <c r="K96" t="s">
        <v>236</v>
      </c>
      <c r="L96" t="s">
        <v>237</v>
      </c>
      <c r="M96" t="s">
        <v>74</v>
      </c>
      <c r="N96" t="s">
        <v>171</v>
      </c>
      <c r="O96" t="s">
        <v>394</v>
      </c>
      <c r="P96" t="s">
        <v>31</v>
      </c>
      <c r="Q96">
        <v>7</v>
      </c>
      <c r="R96">
        <v>3781.53</v>
      </c>
      <c r="S96" s="6">
        <v>0</v>
      </c>
      <c r="T96" s="6">
        <f t="shared" si="12"/>
        <v>0</v>
      </c>
      <c r="U96">
        <v>26470.71</v>
      </c>
      <c r="V96">
        <f t="shared" si="13"/>
        <v>26470.710000000003</v>
      </c>
      <c r="W96" s="6">
        <f t="shared" si="14"/>
        <v>0</v>
      </c>
      <c r="X96">
        <v>21367.599999999999</v>
      </c>
      <c r="Y96">
        <v>5103.1099999999997</v>
      </c>
      <c r="Z96">
        <f t="shared" si="15"/>
        <v>5103.1100000000042</v>
      </c>
      <c r="AA96" s="6">
        <f t="shared" si="16"/>
        <v>0</v>
      </c>
      <c r="AB96">
        <f t="shared" si="17"/>
        <v>0.19278326875251944</v>
      </c>
      <c r="AC96" t="s">
        <v>111</v>
      </c>
      <c r="AD96" t="s">
        <v>68</v>
      </c>
      <c r="AE96" t="s">
        <v>2827</v>
      </c>
      <c r="AF96" t="s">
        <v>2804</v>
      </c>
    </row>
    <row r="97" spans="1:32">
      <c r="A97" t="s">
        <v>395</v>
      </c>
      <c r="B97" s="3">
        <v>45786</v>
      </c>
      <c r="C97" t="str">
        <f t="shared" si="10"/>
        <v>May</v>
      </c>
      <c r="D97">
        <f t="shared" si="11"/>
        <v>2025</v>
      </c>
      <c r="E97" s="3">
        <v>45910</v>
      </c>
      <c r="F97">
        <f t="shared" si="9"/>
        <v>124</v>
      </c>
      <c r="G97" t="s">
        <v>396</v>
      </c>
      <c r="H97" t="s">
        <v>132</v>
      </c>
      <c r="I97" t="s">
        <v>90</v>
      </c>
      <c r="J97" t="s">
        <v>63</v>
      </c>
      <c r="K97" t="s">
        <v>190</v>
      </c>
      <c r="L97" t="s">
        <v>191</v>
      </c>
      <c r="M97" t="s">
        <v>41</v>
      </c>
      <c r="N97" t="s">
        <v>158</v>
      </c>
      <c r="O97" t="s">
        <v>397</v>
      </c>
      <c r="P97" t="s">
        <v>44</v>
      </c>
      <c r="Q97">
        <v>6</v>
      </c>
      <c r="R97">
        <v>1754.13</v>
      </c>
      <c r="S97" s="6">
        <v>0</v>
      </c>
      <c r="T97" s="6">
        <f t="shared" si="12"/>
        <v>0</v>
      </c>
      <c r="U97">
        <v>10524.78</v>
      </c>
      <c r="V97">
        <f t="shared" si="13"/>
        <v>10524.78</v>
      </c>
      <c r="W97" s="6">
        <f t="shared" si="14"/>
        <v>0</v>
      </c>
      <c r="X97">
        <v>8841.0499999999993</v>
      </c>
      <c r="Y97">
        <v>1683.73</v>
      </c>
      <c r="Z97">
        <f t="shared" si="15"/>
        <v>1683.7300000000014</v>
      </c>
      <c r="AA97" s="6">
        <f t="shared" si="16"/>
        <v>0</v>
      </c>
      <c r="AB97">
        <f t="shared" si="17"/>
        <v>0.15997769074507984</v>
      </c>
      <c r="AC97" t="s">
        <v>32</v>
      </c>
      <c r="AD97" t="s">
        <v>33</v>
      </c>
      <c r="AE97" t="s">
        <v>2828</v>
      </c>
    </row>
    <row r="98" spans="1:32">
      <c r="A98" t="s">
        <v>398</v>
      </c>
      <c r="B98" s="3">
        <v>45418</v>
      </c>
      <c r="C98" t="str">
        <f t="shared" si="10"/>
        <v>May</v>
      </c>
      <c r="D98">
        <f t="shared" si="11"/>
        <v>2024</v>
      </c>
      <c r="E98" s="3">
        <v>45479</v>
      </c>
      <c r="F98">
        <f t="shared" si="9"/>
        <v>61</v>
      </c>
      <c r="G98" t="s">
        <v>399</v>
      </c>
      <c r="H98" t="s">
        <v>118</v>
      </c>
      <c r="I98" t="s">
        <v>95</v>
      </c>
      <c r="J98" t="s">
        <v>38</v>
      </c>
      <c r="K98" t="s">
        <v>39</v>
      </c>
      <c r="L98" t="s">
        <v>40</v>
      </c>
      <c r="M98" t="s">
        <v>74</v>
      </c>
      <c r="N98" t="s">
        <v>80</v>
      </c>
      <c r="O98" t="s">
        <v>400</v>
      </c>
      <c r="P98" t="s">
        <v>31</v>
      </c>
      <c r="Q98">
        <v>2</v>
      </c>
      <c r="R98">
        <v>2259.2399999999998</v>
      </c>
      <c r="S98" s="6">
        <v>0.15</v>
      </c>
      <c r="T98" s="6">
        <f t="shared" si="12"/>
        <v>0.15</v>
      </c>
      <c r="U98">
        <v>3840.71</v>
      </c>
      <c r="V98">
        <f t="shared" si="13"/>
        <v>3840.7079999999996</v>
      </c>
      <c r="W98" s="6">
        <f t="shared" si="14"/>
        <v>-2.0000000004074536E-3</v>
      </c>
      <c r="X98">
        <v>2516.29</v>
      </c>
      <c r="Y98">
        <v>1324.42</v>
      </c>
      <c r="Z98">
        <f t="shared" si="15"/>
        <v>1324.4179999999997</v>
      </c>
      <c r="AA98" s="6">
        <f t="shared" si="16"/>
        <v>-2.0000000004074536E-3</v>
      </c>
      <c r="AB98">
        <f t="shared" si="17"/>
        <v>0.34483694152224009</v>
      </c>
      <c r="AC98" t="s">
        <v>32</v>
      </c>
      <c r="AD98" t="s">
        <v>33</v>
      </c>
      <c r="AE98" t="s">
        <v>2828</v>
      </c>
    </row>
    <row r="99" spans="1:32">
      <c r="A99" t="s">
        <v>401</v>
      </c>
      <c r="B99" s="3">
        <v>45877</v>
      </c>
      <c r="C99" t="str">
        <f t="shared" si="10"/>
        <v>August</v>
      </c>
      <c r="D99">
        <f t="shared" si="11"/>
        <v>2025</v>
      </c>
      <c r="E99" s="3">
        <v>45969</v>
      </c>
      <c r="F99">
        <f t="shared" si="9"/>
        <v>92</v>
      </c>
      <c r="G99" t="s">
        <v>402</v>
      </c>
      <c r="H99" t="s">
        <v>162</v>
      </c>
      <c r="I99" t="s">
        <v>37</v>
      </c>
      <c r="J99" t="s">
        <v>63</v>
      </c>
      <c r="K99" t="s">
        <v>180</v>
      </c>
      <c r="L99" t="s">
        <v>181</v>
      </c>
      <c r="M99" t="s">
        <v>28</v>
      </c>
      <c r="N99" t="s">
        <v>124</v>
      </c>
      <c r="O99" t="s">
        <v>403</v>
      </c>
      <c r="P99" t="s">
        <v>44</v>
      </c>
      <c r="Q99">
        <v>5</v>
      </c>
      <c r="R99">
        <v>3602.36</v>
      </c>
      <c r="S99" s="6">
        <v>0.2</v>
      </c>
      <c r="T99" s="6">
        <f t="shared" si="12"/>
        <v>0.2</v>
      </c>
      <c r="U99">
        <v>14409.44</v>
      </c>
      <c r="V99">
        <f t="shared" si="13"/>
        <v>14409.44</v>
      </c>
      <c r="W99" s="6">
        <f t="shared" si="14"/>
        <v>0</v>
      </c>
      <c r="X99">
        <v>8809.9699999999993</v>
      </c>
      <c r="Y99">
        <v>5599.47</v>
      </c>
      <c r="Z99">
        <f t="shared" si="15"/>
        <v>5599.4700000000012</v>
      </c>
      <c r="AA99" s="6">
        <f t="shared" si="16"/>
        <v>0</v>
      </c>
      <c r="AB99">
        <f t="shared" si="17"/>
        <v>0.38859733619071951</v>
      </c>
      <c r="AC99" t="s">
        <v>111</v>
      </c>
      <c r="AD99" t="s">
        <v>103</v>
      </c>
      <c r="AE99" t="s">
        <v>2827</v>
      </c>
      <c r="AF99" t="s">
        <v>2814</v>
      </c>
    </row>
    <row r="100" spans="1:32">
      <c r="A100" t="s">
        <v>404</v>
      </c>
      <c r="B100" s="3">
        <v>45317</v>
      </c>
      <c r="C100" t="str">
        <f t="shared" si="10"/>
        <v>January</v>
      </c>
      <c r="D100">
        <f t="shared" si="11"/>
        <v>2024</v>
      </c>
      <c r="E100" s="3">
        <v>45323</v>
      </c>
      <c r="F100">
        <f t="shared" si="9"/>
        <v>6</v>
      </c>
      <c r="G100" t="s">
        <v>405</v>
      </c>
      <c r="H100" t="s">
        <v>141</v>
      </c>
      <c r="I100" t="s">
        <v>95</v>
      </c>
      <c r="J100" t="s">
        <v>54</v>
      </c>
      <c r="K100" t="s">
        <v>185</v>
      </c>
      <c r="L100" t="s">
        <v>186</v>
      </c>
      <c r="M100" t="s">
        <v>74</v>
      </c>
      <c r="N100" t="s">
        <v>80</v>
      </c>
      <c r="O100" t="s">
        <v>406</v>
      </c>
      <c r="P100" t="s">
        <v>2781</v>
      </c>
      <c r="Q100">
        <v>8</v>
      </c>
      <c r="R100">
        <v>2108.9299999999998</v>
      </c>
      <c r="S100" s="6">
        <v>0.1</v>
      </c>
      <c r="T100" s="6">
        <f t="shared" si="12"/>
        <v>0.1</v>
      </c>
      <c r="U100">
        <v>15184.3</v>
      </c>
      <c r="V100">
        <f t="shared" si="13"/>
        <v>15184.295999999998</v>
      </c>
      <c r="W100" s="6">
        <f t="shared" si="14"/>
        <v>-4.0000000008149073E-3</v>
      </c>
      <c r="X100">
        <v>11270.74</v>
      </c>
      <c r="Y100">
        <v>3913.56</v>
      </c>
      <c r="Z100">
        <f t="shared" si="15"/>
        <v>3913.5559999999987</v>
      </c>
      <c r="AA100" s="6">
        <f t="shared" si="16"/>
        <v>-4.0000000012696546E-3</v>
      </c>
      <c r="AB100">
        <f t="shared" si="17"/>
        <v>0.25773707256497103</v>
      </c>
      <c r="AC100" t="s">
        <v>32</v>
      </c>
      <c r="AD100" t="s">
        <v>33</v>
      </c>
      <c r="AE100" t="s">
        <v>2827</v>
      </c>
      <c r="AF100" t="s">
        <v>2829</v>
      </c>
    </row>
    <row r="101" spans="1:32">
      <c r="A101" t="s">
        <v>407</v>
      </c>
      <c r="B101" s="3">
        <v>45962</v>
      </c>
      <c r="C101" t="str">
        <f t="shared" si="10"/>
        <v>November</v>
      </c>
      <c r="D101">
        <f t="shared" si="11"/>
        <v>2025</v>
      </c>
      <c r="E101" s="3">
        <v>45962</v>
      </c>
      <c r="F101">
        <f t="shared" si="9"/>
        <v>0</v>
      </c>
      <c r="G101" t="s">
        <v>408</v>
      </c>
      <c r="H101" t="s">
        <v>89</v>
      </c>
      <c r="I101" t="s">
        <v>37</v>
      </c>
      <c r="J101" t="s">
        <v>63</v>
      </c>
      <c r="K101" t="s">
        <v>26</v>
      </c>
      <c r="L101" t="s">
        <v>109</v>
      </c>
      <c r="M101" t="s">
        <v>74</v>
      </c>
      <c r="N101" t="s">
        <v>75</v>
      </c>
      <c r="O101" t="s">
        <v>409</v>
      </c>
      <c r="P101" t="s">
        <v>44</v>
      </c>
      <c r="Q101">
        <v>3</v>
      </c>
      <c r="R101">
        <v>2165.29</v>
      </c>
      <c r="S101" s="6">
        <v>0</v>
      </c>
      <c r="T101" s="6">
        <f t="shared" si="12"/>
        <v>0</v>
      </c>
      <c r="U101">
        <v>6495.87</v>
      </c>
      <c r="V101">
        <f t="shared" si="13"/>
        <v>6495.87</v>
      </c>
      <c r="W101" s="6">
        <f t="shared" si="14"/>
        <v>0</v>
      </c>
      <c r="X101">
        <v>4700.8900000000003</v>
      </c>
      <c r="Y101">
        <v>1794.98</v>
      </c>
      <c r="Z101">
        <f t="shared" si="15"/>
        <v>1794.9799999999996</v>
      </c>
      <c r="AA101" s="6">
        <f t="shared" si="16"/>
        <v>0</v>
      </c>
      <c r="AB101">
        <f t="shared" si="17"/>
        <v>0.27632634273777024</v>
      </c>
      <c r="AC101" t="s">
        <v>32</v>
      </c>
      <c r="AD101" t="s">
        <v>33</v>
      </c>
      <c r="AE101" t="s">
        <v>2828</v>
      </c>
    </row>
    <row r="102" spans="1:32">
      <c r="A102" t="s">
        <v>410</v>
      </c>
      <c r="B102" s="3">
        <v>46000</v>
      </c>
      <c r="C102" t="str">
        <f t="shared" si="10"/>
        <v>December</v>
      </c>
      <c r="D102">
        <f t="shared" si="11"/>
        <v>2025</v>
      </c>
      <c r="E102" s="3">
        <v>45918</v>
      </c>
      <c r="F102">
        <f t="shared" si="9"/>
        <v>-82</v>
      </c>
      <c r="G102" t="s">
        <v>411</v>
      </c>
      <c r="H102" t="s">
        <v>128</v>
      </c>
      <c r="I102" t="s">
        <v>95</v>
      </c>
      <c r="J102" t="s">
        <v>54</v>
      </c>
      <c r="K102" t="s">
        <v>185</v>
      </c>
      <c r="L102" t="s">
        <v>186</v>
      </c>
      <c r="M102" t="s">
        <v>28</v>
      </c>
      <c r="N102" t="s">
        <v>124</v>
      </c>
      <c r="O102" t="s">
        <v>412</v>
      </c>
      <c r="P102" t="s">
        <v>59</v>
      </c>
      <c r="Q102">
        <v>6</v>
      </c>
      <c r="R102">
        <v>1673.8</v>
      </c>
      <c r="S102" s="6">
        <v>0.05</v>
      </c>
      <c r="T102" s="6">
        <f t="shared" si="12"/>
        <v>0.05</v>
      </c>
      <c r="U102">
        <v>9540.66</v>
      </c>
      <c r="V102">
        <f t="shared" si="13"/>
        <v>9540.659999999998</v>
      </c>
      <c r="W102" s="6">
        <f t="shared" si="14"/>
        <v>0</v>
      </c>
      <c r="X102">
        <v>5561.49</v>
      </c>
      <c r="Y102">
        <v>3979.17</v>
      </c>
      <c r="Z102">
        <f t="shared" si="15"/>
        <v>3979.1699999999983</v>
      </c>
      <c r="AA102" s="6">
        <f t="shared" si="16"/>
        <v>0</v>
      </c>
      <c r="AB102">
        <f t="shared" si="17"/>
        <v>0.41707491934520241</v>
      </c>
      <c r="AC102" t="s">
        <v>32</v>
      </c>
      <c r="AD102" t="s">
        <v>33</v>
      </c>
      <c r="AE102" t="s">
        <v>2826</v>
      </c>
      <c r="AF102" s="10" t="s">
        <v>2790</v>
      </c>
    </row>
    <row r="103" spans="1:32">
      <c r="A103" t="s">
        <v>413</v>
      </c>
      <c r="B103" s="3">
        <v>45465</v>
      </c>
      <c r="C103" t="str">
        <f t="shared" si="10"/>
        <v>June</v>
      </c>
      <c r="D103">
        <f t="shared" si="11"/>
        <v>2024</v>
      </c>
      <c r="E103" s="3">
        <v>45469</v>
      </c>
      <c r="F103">
        <f t="shared" si="9"/>
        <v>4</v>
      </c>
      <c r="G103" t="s">
        <v>414</v>
      </c>
      <c r="H103" t="s">
        <v>141</v>
      </c>
      <c r="I103" t="s">
        <v>95</v>
      </c>
      <c r="J103" t="s">
        <v>38</v>
      </c>
      <c r="K103" t="s">
        <v>145</v>
      </c>
      <c r="L103" t="s">
        <v>146</v>
      </c>
      <c r="M103" t="s">
        <v>41</v>
      </c>
      <c r="N103" t="s">
        <v>57</v>
      </c>
      <c r="O103" t="s">
        <v>415</v>
      </c>
      <c r="P103" t="s">
        <v>50</v>
      </c>
      <c r="Q103">
        <v>5</v>
      </c>
      <c r="R103">
        <v>4396.5200000000004</v>
      </c>
      <c r="S103" s="6">
        <v>0.25</v>
      </c>
      <c r="T103" s="6">
        <f t="shared" si="12"/>
        <v>0.25</v>
      </c>
      <c r="U103">
        <v>16486.95</v>
      </c>
      <c r="V103">
        <f t="shared" si="13"/>
        <v>16486.95</v>
      </c>
      <c r="W103" s="6">
        <f t="shared" si="14"/>
        <v>0</v>
      </c>
      <c r="X103">
        <v>12054.14</v>
      </c>
      <c r="Y103">
        <v>4432.8100000000004</v>
      </c>
      <c r="Z103">
        <f t="shared" si="15"/>
        <v>4432.8100000000013</v>
      </c>
      <c r="AA103" s="6">
        <f t="shared" si="16"/>
        <v>0</v>
      </c>
      <c r="AB103">
        <f t="shared" si="17"/>
        <v>0.26886780150361356</v>
      </c>
      <c r="AC103" t="s">
        <v>32</v>
      </c>
      <c r="AD103" t="s">
        <v>33</v>
      </c>
      <c r="AE103" t="s">
        <v>2828</v>
      </c>
    </row>
    <row r="104" spans="1:32">
      <c r="A104" t="s">
        <v>416</v>
      </c>
      <c r="B104" s="3">
        <v>45998</v>
      </c>
      <c r="C104" t="str">
        <f t="shared" si="10"/>
        <v>December</v>
      </c>
      <c r="D104">
        <f t="shared" si="11"/>
        <v>2025</v>
      </c>
      <c r="E104" s="3">
        <v>45854</v>
      </c>
      <c r="F104">
        <f t="shared" si="9"/>
        <v>-144</v>
      </c>
      <c r="G104" t="s">
        <v>417</v>
      </c>
      <c r="H104" t="s">
        <v>71</v>
      </c>
      <c r="I104" t="s">
        <v>24</v>
      </c>
      <c r="J104" t="s">
        <v>54</v>
      </c>
      <c r="K104" t="s">
        <v>175</v>
      </c>
      <c r="L104" t="s">
        <v>176</v>
      </c>
      <c r="M104" t="s">
        <v>41</v>
      </c>
      <c r="N104" t="s">
        <v>66</v>
      </c>
      <c r="O104" t="s">
        <v>418</v>
      </c>
      <c r="P104" t="s">
        <v>50</v>
      </c>
      <c r="Q104">
        <v>4</v>
      </c>
      <c r="R104">
        <v>2865.71</v>
      </c>
      <c r="S104" s="6">
        <v>0</v>
      </c>
      <c r="T104" s="6">
        <f t="shared" si="12"/>
        <v>0</v>
      </c>
      <c r="U104">
        <v>11462.84</v>
      </c>
      <c r="V104">
        <f t="shared" si="13"/>
        <v>11462.84</v>
      </c>
      <c r="W104" s="6">
        <f t="shared" si="14"/>
        <v>0</v>
      </c>
      <c r="X104">
        <v>8979.7800000000007</v>
      </c>
      <c r="Y104">
        <v>2483.06</v>
      </c>
      <c r="Z104">
        <f t="shared" si="15"/>
        <v>2483.0599999999995</v>
      </c>
      <c r="AA104" s="6">
        <f t="shared" si="16"/>
        <v>0</v>
      </c>
      <c r="AB104">
        <f t="shared" si="17"/>
        <v>0.21661822026653077</v>
      </c>
      <c r="AC104" t="s">
        <v>102</v>
      </c>
      <c r="AD104" t="s">
        <v>68</v>
      </c>
      <c r="AE104" t="s">
        <v>2826</v>
      </c>
      <c r="AF104" s="10" t="s">
        <v>2813</v>
      </c>
    </row>
    <row r="105" spans="1:32">
      <c r="A105" t="s">
        <v>419</v>
      </c>
      <c r="B105" s="3">
        <v>45779</v>
      </c>
      <c r="C105" t="str">
        <f t="shared" si="10"/>
        <v>May</v>
      </c>
      <c r="D105">
        <f t="shared" si="11"/>
        <v>2025</v>
      </c>
      <c r="E105" s="3">
        <v>45787</v>
      </c>
      <c r="F105">
        <f t="shared" si="9"/>
        <v>8</v>
      </c>
      <c r="G105" t="s">
        <v>420</v>
      </c>
      <c r="H105" t="s">
        <v>264</v>
      </c>
      <c r="I105" t="s">
        <v>90</v>
      </c>
      <c r="J105" t="s">
        <v>63</v>
      </c>
      <c r="K105" t="s">
        <v>64</v>
      </c>
      <c r="L105" t="s">
        <v>65</v>
      </c>
      <c r="M105" t="s">
        <v>41</v>
      </c>
      <c r="N105" t="s">
        <v>42</v>
      </c>
      <c r="O105" t="s">
        <v>421</v>
      </c>
      <c r="P105" t="s">
        <v>50</v>
      </c>
      <c r="Q105">
        <v>4</v>
      </c>
      <c r="R105">
        <v>2440.34</v>
      </c>
      <c r="S105" s="6">
        <v>0.2</v>
      </c>
      <c r="T105" s="6">
        <f t="shared" si="12"/>
        <v>0.2</v>
      </c>
      <c r="U105">
        <v>7809.09</v>
      </c>
      <c r="V105">
        <f t="shared" si="13"/>
        <v>7809.0880000000006</v>
      </c>
      <c r="W105" s="6">
        <f t="shared" si="14"/>
        <v>-1.9999999994979589E-3</v>
      </c>
      <c r="X105">
        <v>6657.75</v>
      </c>
      <c r="Y105">
        <v>1151.3399999999999</v>
      </c>
      <c r="Z105">
        <f t="shared" si="15"/>
        <v>1151.3380000000006</v>
      </c>
      <c r="AA105" s="6">
        <f t="shared" si="16"/>
        <v>-1.9999999992705852E-3</v>
      </c>
      <c r="AB105">
        <f t="shared" si="17"/>
        <v>0.14743565445798543</v>
      </c>
      <c r="AC105" t="s">
        <v>32</v>
      </c>
      <c r="AD105" t="s">
        <v>33</v>
      </c>
      <c r="AE105" t="s">
        <v>2828</v>
      </c>
    </row>
    <row r="106" spans="1:32">
      <c r="A106" t="s">
        <v>422</v>
      </c>
      <c r="B106" s="3">
        <v>45659</v>
      </c>
      <c r="C106" t="str">
        <f t="shared" si="10"/>
        <v>January</v>
      </c>
      <c r="D106">
        <f t="shared" si="11"/>
        <v>2025</v>
      </c>
      <c r="E106" s="3">
        <v>45696</v>
      </c>
      <c r="F106">
        <f t="shared" si="9"/>
        <v>37</v>
      </c>
      <c r="G106" t="s">
        <v>423</v>
      </c>
      <c r="H106" t="s">
        <v>62</v>
      </c>
      <c r="I106" t="s">
        <v>24</v>
      </c>
      <c r="J106" t="s">
        <v>54</v>
      </c>
      <c r="K106" t="s">
        <v>175</v>
      </c>
      <c r="L106" t="s">
        <v>176</v>
      </c>
      <c r="M106" t="s">
        <v>28</v>
      </c>
      <c r="N106" t="s">
        <v>91</v>
      </c>
      <c r="O106" t="s">
        <v>424</v>
      </c>
      <c r="P106" t="s">
        <v>44</v>
      </c>
      <c r="Q106">
        <v>5</v>
      </c>
      <c r="R106">
        <v>2112.54</v>
      </c>
      <c r="S106" s="6">
        <v>0.25</v>
      </c>
      <c r="T106" s="6">
        <f t="shared" si="12"/>
        <v>0.25</v>
      </c>
      <c r="U106">
        <v>8260.4599999999991</v>
      </c>
      <c r="V106">
        <f t="shared" si="13"/>
        <v>7922.0250000000005</v>
      </c>
      <c r="W106" s="6">
        <f t="shared" si="14"/>
        <v>-338.43499999999858</v>
      </c>
      <c r="X106">
        <v>5619.95</v>
      </c>
      <c r="Y106">
        <v>2302.08</v>
      </c>
      <c r="Z106">
        <f t="shared" si="15"/>
        <v>2302.0750000000007</v>
      </c>
      <c r="AA106" s="6">
        <f t="shared" si="16"/>
        <v>-4.9999999991996447E-3</v>
      </c>
      <c r="AB106">
        <f t="shared" si="17"/>
        <v>0.29059173633004193</v>
      </c>
      <c r="AC106" t="s">
        <v>32</v>
      </c>
      <c r="AD106" t="s">
        <v>68</v>
      </c>
      <c r="AE106" t="s">
        <v>2827</v>
      </c>
      <c r="AF106" t="s">
        <v>2795</v>
      </c>
    </row>
    <row r="107" spans="1:32">
      <c r="A107" t="s">
        <v>425</v>
      </c>
      <c r="B107" s="3">
        <v>45467</v>
      </c>
      <c r="C107" t="str">
        <f t="shared" si="10"/>
        <v>June</v>
      </c>
      <c r="D107">
        <f t="shared" si="11"/>
        <v>2024</v>
      </c>
      <c r="E107" s="3">
        <v>45472</v>
      </c>
      <c r="F107">
        <f t="shared" si="9"/>
        <v>5</v>
      </c>
      <c r="G107" t="s">
        <v>426</v>
      </c>
      <c r="H107" t="s">
        <v>36</v>
      </c>
      <c r="I107" t="s">
        <v>95</v>
      </c>
      <c r="J107" t="s">
        <v>38</v>
      </c>
      <c r="K107" t="s">
        <v>99</v>
      </c>
      <c r="L107" t="s">
        <v>100</v>
      </c>
      <c r="M107" t="s">
        <v>41</v>
      </c>
      <c r="N107" t="s">
        <v>42</v>
      </c>
      <c r="O107" t="s">
        <v>427</v>
      </c>
      <c r="P107" t="s">
        <v>31</v>
      </c>
      <c r="Q107">
        <v>2</v>
      </c>
      <c r="R107">
        <v>685</v>
      </c>
      <c r="S107" s="6">
        <v>0.1</v>
      </c>
      <c r="T107" s="6">
        <f t="shared" si="12"/>
        <v>0.1</v>
      </c>
      <c r="U107">
        <v>1233</v>
      </c>
      <c r="V107">
        <f t="shared" si="13"/>
        <v>1233</v>
      </c>
      <c r="W107" s="6">
        <f t="shared" si="14"/>
        <v>0</v>
      </c>
      <c r="X107">
        <v>1006.9</v>
      </c>
      <c r="Y107">
        <v>226.1</v>
      </c>
      <c r="Z107">
        <f t="shared" si="15"/>
        <v>226.10000000000002</v>
      </c>
      <c r="AA107" s="6">
        <f t="shared" si="16"/>
        <v>0</v>
      </c>
      <c r="AB107">
        <f t="shared" si="17"/>
        <v>0.18337388483373887</v>
      </c>
      <c r="AC107" t="s">
        <v>32</v>
      </c>
      <c r="AD107" t="s">
        <v>33</v>
      </c>
      <c r="AE107" t="s">
        <v>2828</v>
      </c>
    </row>
    <row r="108" spans="1:32">
      <c r="A108" t="s">
        <v>428</v>
      </c>
      <c r="B108" s="3">
        <v>45342</v>
      </c>
      <c r="C108" t="str">
        <f t="shared" si="10"/>
        <v>February</v>
      </c>
      <c r="D108">
        <f t="shared" si="11"/>
        <v>2024</v>
      </c>
      <c r="E108" s="3">
        <v>45350</v>
      </c>
      <c r="F108">
        <f t="shared" si="9"/>
        <v>8</v>
      </c>
      <c r="G108" t="s">
        <v>429</v>
      </c>
      <c r="H108" t="s">
        <v>53</v>
      </c>
      <c r="I108" t="s">
        <v>95</v>
      </c>
      <c r="J108" t="s">
        <v>38</v>
      </c>
      <c r="K108" t="s">
        <v>99</v>
      </c>
      <c r="L108" t="s">
        <v>100</v>
      </c>
      <c r="M108" t="s">
        <v>28</v>
      </c>
      <c r="N108" t="s">
        <v>29</v>
      </c>
      <c r="O108" t="s">
        <v>430</v>
      </c>
      <c r="P108" t="s">
        <v>59</v>
      </c>
      <c r="Q108">
        <v>2</v>
      </c>
      <c r="R108">
        <v>4004.04</v>
      </c>
      <c r="S108" s="6">
        <v>0</v>
      </c>
      <c r="T108" s="6">
        <f t="shared" si="12"/>
        <v>0</v>
      </c>
      <c r="U108">
        <v>7207.27</v>
      </c>
      <c r="V108">
        <f t="shared" si="13"/>
        <v>8008.08</v>
      </c>
      <c r="W108" s="6">
        <f t="shared" si="14"/>
        <v>800.80999999999949</v>
      </c>
      <c r="X108">
        <v>5709.39</v>
      </c>
      <c r="Y108">
        <v>1497.88</v>
      </c>
      <c r="Z108">
        <f t="shared" si="15"/>
        <v>2298.6899999999996</v>
      </c>
      <c r="AA108" s="6">
        <f t="shared" si="16"/>
        <v>800.80999999999949</v>
      </c>
      <c r="AB108">
        <f t="shared" si="17"/>
        <v>0.28704633320346445</v>
      </c>
      <c r="AC108" t="s">
        <v>32</v>
      </c>
      <c r="AD108" t="s">
        <v>68</v>
      </c>
      <c r="AE108" t="s">
        <v>2827</v>
      </c>
      <c r="AF108" t="s">
        <v>2795</v>
      </c>
    </row>
    <row r="109" spans="1:32">
      <c r="A109" t="s">
        <v>431</v>
      </c>
      <c r="B109" s="3">
        <v>45594</v>
      </c>
      <c r="C109" t="str">
        <f t="shared" si="10"/>
        <v>October</v>
      </c>
      <c r="D109">
        <f t="shared" si="11"/>
        <v>2024</v>
      </c>
      <c r="E109" s="3">
        <v>45393</v>
      </c>
      <c r="F109">
        <f t="shared" si="9"/>
        <v>-201</v>
      </c>
      <c r="G109" t="s">
        <v>432</v>
      </c>
      <c r="H109" t="s">
        <v>141</v>
      </c>
      <c r="I109" t="s">
        <v>95</v>
      </c>
      <c r="J109" t="s">
        <v>38</v>
      </c>
      <c r="K109" t="s">
        <v>99</v>
      </c>
      <c r="L109" t="s">
        <v>100</v>
      </c>
      <c r="M109" t="s">
        <v>41</v>
      </c>
      <c r="N109" t="s">
        <v>57</v>
      </c>
      <c r="O109" t="s">
        <v>433</v>
      </c>
      <c r="P109" t="s">
        <v>50</v>
      </c>
      <c r="Q109">
        <v>3</v>
      </c>
      <c r="R109">
        <v>4302.8900000000003</v>
      </c>
      <c r="S109" s="6">
        <v>0.05</v>
      </c>
      <c r="T109" s="6">
        <f t="shared" si="12"/>
        <v>0.05</v>
      </c>
      <c r="U109">
        <v>12263.24</v>
      </c>
      <c r="V109">
        <f t="shared" si="13"/>
        <v>12263.236500000001</v>
      </c>
      <c r="W109" s="6">
        <f t="shared" si="14"/>
        <v>-3.4999999988940544E-3</v>
      </c>
      <c r="X109">
        <v>8925.57</v>
      </c>
      <c r="Y109">
        <v>3337.67</v>
      </c>
      <c r="Z109">
        <f t="shared" si="15"/>
        <v>3337.6665000000012</v>
      </c>
      <c r="AA109" s="6">
        <f t="shared" si="16"/>
        <v>-3.4999999988940544E-3</v>
      </c>
      <c r="AB109">
        <f t="shared" si="17"/>
        <v>0.27216848504878799</v>
      </c>
      <c r="AC109" t="s">
        <v>32</v>
      </c>
      <c r="AD109" t="s">
        <v>33</v>
      </c>
      <c r="AE109" t="s">
        <v>2826</v>
      </c>
      <c r="AF109" s="10" t="s">
        <v>2790</v>
      </c>
    </row>
    <row r="110" spans="1:32">
      <c r="A110" t="s">
        <v>434</v>
      </c>
      <c r="B110" s="3">
        <v>45519</v>
      </c>
      <c r="C110" t="str">
        <f t="shared" si="10"/>
        <v>August</v>
      </c>
      <c r="D110">
        <f t="shared" si="11"/>
        <v>2024</v>
      </c>
      <c r="E110" s="3">
        <v>45527</v>
      </c>
      <c r="F110">
        <f t="shared" si="9"/>
        <v>8</v>
      </c>
      <c r="G110" t="s">
        <v>435</v>
      </c>
      <c r="H110" t="s">
        <v>89</v>
      </c>
      <c r="I110" t="s">
        <v>37</v>
      </c>
      <c r="J110" t="s">
        <v>38</v>
      </c>
      <c r="K110" t="s">
        <v>39</v>
      </c>
      <c r="L110" t="s">
        <v>40</v>
      </c>
      <c r="M110" t="s">
        <v>41</v>
      </c>
      <c r="N110" t="s">
        <v>158</v>
      </c>
      <c r="O110" t="s">
        <v>436</v>
      </c>
      <c r="P110" t="s">
        <v>44</v>
      </c>
      <c r="Q110">
        <v>2</v>
      </c>
      <c r="R110">
        <v>537.54</v>
      </c>
      <c r="S110" s="6">
        <v>0.25</v>
      </c>
      <c r="T110" s="6">
        <f t="shared" si="12"/>
        <v>0.25</v>
      </c>
      <c r="U110">
        <v>806.31</v>
      </c>
      <c r="V110">
        <f t="shared" si="13"/>
        <v>806.31</v>
      </c>
      <c r="W110" s="6">
        <f t="shared" si="14"/>
        <v>0</v>
      </c>
      <c r="X110">
        <v>498.5</v>
      </c>
      <c r="Y110">
        <v>307.81</v>
      </c>
      <c r="Z110">
        <f t="shared" si="15"/>
        <v>307.80999999999995</v>
      </c>
      <c r="AA110" s="6">
        <f t="shared" si="16"/>
        <v>0</v>
      </c>
      <c r="AB110">
        <f t="shared" si="17"/>
        <v>0.38175143555208291</v>
      </c>
      <c r="AC110" t="s">
        <v>32</v>
      </c>
      <c r="AD110" t="s">
        <v>33</v>
      </c>
      <c r="AE110" t="s">
        <v>2828</v>
      </c>
    </row>
    <row r="111" spans="1:32">
      <c r="A111" t="s">
        <v>437</v>
      </c>
      <c r="B111" s="3">
        <v>45892</v>
      </c>
      <c r="C111" t="str">
        <f t="shared" si="10"/>
        <v>August</v>
      </c>
      <c r="D111">
        <f t="shared" si="11"/>
        <v>2025</v>
      </c>
      <c r="E111" s="3">
        <v>45896</v>
      </c>
      <c r="F111">
        <f t="shared" si="9"/>
        <v>4</v>
      </c>
      <c r="G111" t="s">
        <v>438</v>
      </c>
      <c r="H111" t="s">
        <v>132</v>
      </c>
      <c r="I111" t="s">
        <v>24</v>
      </c>
      <c r="J111" t="s">
        <v>25</v>
      </c>
      <c r="K111" t="s">
        <v>350</v>
      </c>
      <c r="L111" t="s">
        <v>351</v>
      </c>
      <c r="M111" t="s">
        <v>28</v>
      </c>
      <c r="N111" t="s">
        <v>153</v>
      </c>
      <c r="O111" t="s">
        <v>439</v>
      </c>
      <c r="P111" t="s">
        <v>31</v>
      </c>
      <c r="Q111">
        <v>1</v>
      </c>
      <c r="R111">
        <v>2788.62</v>
      </c>
      <c r="S111" s="6">
        <v>0.25</v>
      </c>
      <c r="T111" s="6">
        <f t="shared" si="12"/>
        <v>0.25</v>
      </c>
      <c r="U111">
        <v>2091.4699999999998</v>
      </c>
      <c r="V111">
        <f t="shared" si="13"/>
        <v>2091.4650000000001</v>
      </c>
      <c r="W111" s="6">
        <f t="shared" si="14"/>
        <v>-4.999999999654392E-3</v>
      </c>
      <c r="X111">
        <v>1317.22</v>
      </c>
      <c r="Y111">
        <v>774.25</v>
      </c>
      <c r="Z111">
        <f t="shared" si="15"/>
        <v>774.24500000000012</v>
      </c>
      <c r="AA111" s="6">
        <f t="shared" si="16"/>
        <v>-4.9999999998817657E-3</v>
      </c>
      <c r="AB111">
        <f t="shared" si="17"/>
        <v>0.37019266399389905</v>
      </c>
      <c r="AC111" t="s">
        <v>32</v>
      </c>
      <c r="AD111" t="s">
        <v>33</v>
      </c>
      <c r="AE111" t="s">
        <v>2828</v>
      </c>
    </row>
    <row r="112" spans="1:32">
      <c r="A112" t="s">
        <v>440</v>
      </c>
      <c r="B112" s="3">
        <v>45583</v>
      </c>
      <c r="C112" t="str">
        <f t="shared" si="10"/>
        <v>October</v>
      </c>
      <c r="D112">
        <f t="shared" si="11"/>
        <v>2024</v>
      </c>
      <c r="E112" s="3">
        <v>45589</v>
      </c>
      <c r="F112">
        <f t="shared" si="9"/>
        <v>6</v>
      </c>
      <c r="G112" t="s">
        <v>441</v>
      </c>
      <c r="H112" t="s">
        <v>71</v>
      </c>
      <c r="I112" t="s">
        <v>90</v>
      </c>
      <c r="J112" t="s">
        <v>54</v>
      </c>
      <c r="K112" t="s">
        <v>185</v>
      </c>
      <c r="L112" t="s">
        <v>186</v>
      </c>
      <c r="M112" t="s">
        <v>28</v>
      </c>
      <c r="N112" t="s">
        <v>91</v>
      </c>
      <c r="O112" t="s">
        <v>442</v>
      </c>
      <c r="P112" t="s">
        <v>50</v>
      </c>
      <c r="Q112">
        <v>2</v>
      </c>
      <c r="R112">
        <v>2250.4699999999998</v>
      </c>
      <c r="S112" s="6">
        <v>0</v>
      </c>
      <c r="T112" s="6">
        <f t="shared" si="12"/>
        <v>0</v>
      </c>
      <c r="U112">
        <v>4500.9399999999996</v>
      </c>
      <c r="V112">
        <f t="shared" si="13"/>
        <v>4500.9399999999996</v>
      </c>
      <c r="W112" s="6">
        <f t="shared" si="14"/>
        <v>0</v>
      </c>
      <c r="X112">
        <v>2607.73</v>
      </c>
      <c r="Y112">
        <v>1893.21</v>
      </c>
      <c r="Z112">
        <f t="shared" si="15"/>
        <v>1893.2099999999996</v>
      </c>
      <c r="AA112" s="6">
        <f t="shared" si="16"/>
        <v>0</v>
      </c>
      <c r="AB112">
        <f t="shared" si="17"/>
        <v>0.42062546934640316</v>
      </c>
      <c r="AC112" t="s">
        <v>102</v>
      </c>
      <c r="AD112" t="s">
        <v>68</v>
      </c>
      <c r="AE112" t="s">
        <v>2827</v>
      </c>
      <c r="AF112" t="s">
        <v>2808</v>
      </c>
    </row>
    <row r="113" spans="1:32">
      <c r="A113" t="s">
        <v>443</v>
      </c>
      <c r="B113" s="3">
        <v>45835</v>
      </c>
      <c r="C113" t="str">
        <f t="shared" si="10"/>
        <v>June</v>
      </c>
      <c r="D113">
        <f t="shared" si="11"/>
        <v>2025</v>
      </c>
      <c r="E113" s="3">
        <v>45838</v>
      </c>
      <c r="F113">
        <f t="shared" si="9"/>
        <v>3</v>
      </c>
      <c r="G113" t="s">
        <v>444</v>
      </c>
      <c r="H113" t="s">
        <v>79</v>
      </c>
      <c r="I113" t="s">
        <v>90</v>
      </c>
      <c r="J113" t="s">
        <v>38</v>
      </c>
      <c r="K113" t="s">
        <v>145</v>
      </c>
      <c r="L113" t="s">
        <v>146</v>
      </c>
      <c r="M113" t="s">
        <v>74</v>
      </c>
      <c r="N113" t="s">
        <v>75</v>
      </c>
      <c r="O113" t="s">
        <v>445</v>
      </c>
      <c r="P113" t="s">
        <v>50</v>
      </c>
      <c r="Q113">
        <v>1</v>
      </c>
      <c r="R113">
        <v>1708.44</v>
      </c>
      <c r="S113" s="6">
        <v>0.05</v>
      </c>
      <c r="T113" s="6">
        <f t="shared" si="12"/>
        <v>0.05</v>
      </c>
      <c r="U113">
        <v>1623.02</v>
      </c>
      <c r="V113">
        <f t="shared" si="13"/>
        <v>1623.018</v>
      </c>
      <c r="W113" s="6">
        <f t="shared" si="14"/>
        <v>-1.9999999999527063E-3</v>
      </c>
      <c r="X113">
        <v>1077.46</v>
      </c>
      <c r="Y113">
        <v>545.55999999999995</v>
      </c>
      <c r="Z113">
        <f t="shared" si="15"/>
        <v>545.55799999999999</v>
      </c>
      <c r="AA113" s="6">
        <f t="shared" si="16"/>
        <v>-1.9999999999527063E-3</v>
      </c>
      <c r="AB113">
        <f t="shared" si="17"/>
        <v>0.3361379849145234</v>
      </c>
      <c r="AC113" t="s">
        <v>111</v>
      </c>
      <c r="AD113" t="s">
        <v>68</v>
      </c>
      <c r="AE113" t="s">
        <v>2827</v>
      </c>
      <c r="AF113" t="s">
        <v>2804</v>
      </c>
    </row>
    <row r="114" spans="1:32">
      <c r="A114" t="s">
        <v>446</v>
      </c>
      <c r="B114" s="3">
        <v>45566</v>
      </c>
      <c r="C114" t="str">
        <f t="shared" si="10"/>
        <v>October</v>
      </c>
      <c r="D114">
        <f t="shared" si="11"/>
        <v>2024</v>
      </c>
      <c r="E114" s="3">
        <v>45305</v>
      </c>
      <c r="F114">
        <f t="shared" si="9"/>
        <v>-261</v>
      </c>
      <c r="G114" t="s">
        <v>447</v>
      </c>
      <c r="H114" t="s">
        <v>132</v>
      </c>
      <c r="I114" t="s">
        <v>24</v>
      </c>
      <c r="J114" t="s">
        <v>2781</v>
      </c>
      <c r="K114" t="s">
        <v>180</v>
      </c>
      <c r="L114" t="s">
        <v>181</v>
      </c>
      <c r="M114" t="s">
        <v>74</v>
      </c>
      <c r="N114" t="s">
        <v>75</v>
      </c>
      <c r="O114" t="s">
        <v>448</v>
      </c>
      <c r="P114" t="s">
        <v>59</v>
      </c>
      <c r="Q114">
        <v>3</v>
      </c>
      <c r="R114">
        <v>3829.48</v>
      </c>
      <c r="S114" s="6">
        <v>0.05</v>
      </c>
      <c r="T114" s="6">
        <f t="shared" si="12"/>
        <v>0.05</v>
      </c>
      <c r="U114">
        <v>10914.02</v>
      </c>
      <c r="V114">
        <f t="shared" si="13"/>
        <v>10914.018</v>
      </c>
      <c r="W114" s="6">
        <f t="shared" si="14"/>
        <v>-2.0000000004074536E-3</v>
      </c>
      <c r="X114">
        <v>6548.74</v>
      </c>
      <c r="Y114">
        <v>4365.28</v>
      </c>
      <c r="Z114">
        <f t="shared" si="15"/>
        <v>4365.2780000000002</v>
      </c>
      <c r="AA114" s="6">
        <f t="shared" si="16"/>
        <v>-1.9999999994979589E-3</v>
      </c>
      <c r="AB114">
        <f t="shared" si="17"/>
        <v>0.39996983695647198</v>
      </c>
      <c r="AC114" t="s">
        <v>32</v>
      </c>
      <c r="AD114" t="s">
        <v>33</v>
      </c>
      <c r="AE114" t="s">
        <v>2826</v>
      </c>
      <c r="AF114" s="10" t="s">
        <v>2790</v>
      </c>
    </row>
    <row r="115" spans="1:32">
      <c r="A115" t="s">
        <v>449</v>
      </c>
      <c r="B115" s="3">
        <v>45628</v>
      </c>
      <c r="C115" t="str">
        <f t="shared" si="10"/>
        <v>December</v>
      </c>
      <c r="D115">
        <f t="shared" si="11"/>
        <v>2024</v>
      </c>
      <c r="E115" s="3">
        <v>45628</v>
      </c>
      <c r="F115">
        <f t="shared" si="9"/>
        <v>0</v>
      </c>
      <c r="G115" t="s">
        <v>360</v>
      </c>
      <c r="H115" t="s">
        <v>47</v>
      </c>
      <c r="I115" t="s">
        <v>95</v>
      </c>
      <c r="J115" t="s">
        <v>54</v>
      </c>
      <c r="K115" t="s">
        <v>247</v>
      </c>
      <c r="L115" t="s">
        <v>248</v>
      </c>
      <c r="M115" t="s">
        <v>41</v>
      </c>
      <c r="N115" t="s">
        <v>42</v>
      </c>
      <c r="O115" t="s">
        <v>450</v>
      </c>
      <c r="P115" t="s">
        <v>59</v>
      </c>
      <c r="Q115">
        <v>3</v>
      </c>
      <c r="R115">
        <v>1089.1500000000001</v>
      </c>
      <c r="S115" s="6">
        <v>0.25</v>
      </c>
      <c r="T115" s="6">
        <f t="shared" si="12"/>
        <v>0.25</v>
      </c>
      <c r="U115">
        <v>2450.59</v>
      </c>
      <c r="V115">
        <f t="shared" si="13"/>
        <v>2450.5875000000001</v>
      </c>
      <c r="W115" s="6">
        <f t="shared" si="14"/>
        <v>-2.5000000000545697E-3</v>
      </c>
      <c r="X115">
        <v>1639.89</v>
      </c>
      <c r="Y115">
        <v>810.7</v>
      </c>
      <c r="Z115">
        <f t="shared" si="15"/>
        <v>810.69749999999999</v>
      </c>
      <c r="AA115" s="6">
        <f t="shared" si="16"/>
        <v>-2.5000000000545697E-3</v>
      </c>
      <c r="AB115">
        <f t="shared" si="17"/>
        <v>0.33081761006289306</v>
      </c>
      <c r="AC115" t="s">
        <v>32</v>
      </c>
      <c r="AD115" t="s">
        <v>33</v>
      </c>
      <c r="AE115" t="s">
        <v>2828</v>
      </c>
    </row>
    <row r="116" spans="1:32">
      <c r="A116" t="s">
        <v>451</v>
      </c>
      <c r="B116" s="3">
        <v>45560</v>
      </c>
      <c r="C116" t="str">
        <f t="shared" si="10"/>
        <v>September</v>
      </c>
      <c r="D116">
        <f t="shared" si="11"/>
        <v>2024</v>
      </c>
      <c r="E116" s="3">
        <v>45565</v>
      </c>
      <c r="F116">
        <f t="shared" si="9"/>
        <v>5</v>
      </c>
      <c r="G116" t="s">
        <v>452</v>
      </c>
      <c r="H116" t="s">
        <v>79</v>
      </c>
      <c r="I116" t="s">
        <v>37</v>
      </c>
      <c r="J116" t="s">
        <v>25</v>
      </c>
      <c r="K116" t="s">
        <v>26</v>
      </c>
      <c r="L116" t="s">
        <v>27</v>
      </c>
      <c r="M116" t="s">
        <v>74</v>
      </c>
      <c r="N116" t="s">
        <v>75</v>
      </c>
      <c r="O116" t="s">
        <v>453</v>
      </c>
      <c r="P116" t="s">
        <v>31</v>
      </c>
      <c r="Q116">
        <v>1</v>
      </c>
      <c r="R116">
        <v>4388.3999999999996</v>
      </c>
      <c r="S116" s="6">
        <v>0.1</v>
      </c>
      <c r="T116" s="6">
        <f t="shared" si="12"/>
        <v>0.1</v>
      </c>
      <c r="U116">
        <v>3949.56</v>
      </c>
      <c r="V116">
        <f t="shared" si="13"/>
        <v>3949.56</v>
      </c>
      <c r="W116" s="6">
        <f t="shared" si="14"/>
        <v>0</v>
      </c>
      <c r="X116">
        <v>3186.73</v>
      </c>
      <c r="Y116">
        <v>762.83</v>
      </c>
      <c r="Z116">
        <f t="shared" si="15"/>
        <v>762.82999999999993</v>
      </c>
      <c r="AA116" s="6">
        <f t="shared" si="16"/>
        <v>0</v>
      </c>
      <c r="AB116">
        <f t="shared" si="17"/>
        <v>0.19314303365438173</v>
      </c>
      <c r="AC116" t="s">
        <v>111</v>
      </c>
      <c r="AD116" t="s">
        <v>68</v>
      </c>
      <c r="AE116" t="s">
        <v>2827</v>
      </c>
      <c r="AF116" t="s">
        <v>2804</v>
      </c>
    </row>
    <row r="117" spans="1:32">
      <c r="A117" t="s">
        <v>454</v>
      </c>
      <c r="B117" s="3">
        <v>45653</v>
      </c>
      <c r="C117" t="str">
        <f t="shared" si="10"/>
        <v>December</v>
      </c>
      <c r="D117">
        <f t="shared" si="11"/>
        <v>2024</v>
      </c>
      <c r="E117" s="3">
        <v>45658</v>
      </c>
      <c r="F117">
        <f t="shared" si="9"/>
        <v>5</v>
      </c>
      <c r="G117" t="s">
        <v>455</v>
      </c>
      <c r="H117" t="s">
        <v>264</v>
      </c>
      <c r="I117" t="s">
        <v>90</v>
      </c>
      <c r="J117" t="s">
        <v>54</v>
      </c>
      <c r="K117" t="s">
        <v>247</v>
      </c>
      <c r="L117" t="s">
        <v>248</v>
      </c>
      <c r="M117" t="s">
        <v>28</v>
      </c>
      <c r="N117" t="s">
        <v>153</v>
      </c>
      <c r="O117" t="s">
        <v>456</v>
      </c>
      <c r="P117" t="s">
        <v>44</v>
      </c>
      <c r="Q117">
        <v>2</v>
      </c>
      <c r="R117">
        <v>446.34</v>
      </c>
      <c r="S117" s="6">
        <v>0.15</v>
      </c>
      <c r="T117" s="6">
        <f t="shared" si="12"/>
        <v>0.15</v>
      </c>
      <c r="U117">
        <v>758.78</v>
      </c>
      <c r="V117">
        <f t="shared" si="13"/>
        <v>758.77799999999991</v>
      </c>
      <c r="W117" s="6">
        <f t="shared" si="14"/>
        <v>-2.0000000000663931E-3</v>
      </c>
      <c r="X117">
        <v>490.74</v>
      </c>
      <c r="Y117">
        <v>268.04000000000002</v>
      </c>
      <c r="Z117">
        <f t="shared" si="15"/>
        <v>268.0379999999999</v>
      </c>
      <c r="AA117" s="6">
        <f t="shared" si="16"/>
        <v>-2.0000000001232365E-3</v>
      </c>
      <c r="AB117">
        <f t="shared" si="17"/>
        <v>0.35324956706704719</v>
      </c>
      <c r="AC117" t="s">
        <v>32</v>
      </c>
      <c r="AD117" t="s">
        <v>68</v>
      </c>
      <c r="AE117" t="s">
        <v>2827</v>
      </c>
      <c r="AF117" t="s">
        <v>2795</v>
      </c>
    </row>
    <row r="118" spans="1:32">
      <c r="A118" t="s">
        <v>457</v>
      </c>
      <c r="B118" s="3">
        <v>45703</v>
      </c>
      <c r="C118" t="str">
        <f t="shared" si="10"/>
        <v>February</v>
      </c>
      <c r="D118">
        <f t="shared" si="11"/>
        <v>2025</v>
      </c>
      <c r="E118" s="3">
        <v>45707</v>
      </c>
      <c r="F118">
        <f t="shared" si="9"/>
        <v>4</v>
      </c>
      <c r="G118" t="s">
        <v>458</v>
      </c>
      <c r="H118" t="s">
        <v>62</v>
      </c>
      <c r="I118" t="s">
        <v>37</v>
      </c>
      <c r="J118" t="s">
        <v>2781</v>
      </c>
      <c r="K118" t="s">
        <v>72</v>
      </c>
      <c r="L118" t="s">
        <v>73</v>
      </c>
      <c r="M118" t="s">
        <v>28</v>
      </c>
      <c r="N118" t="s">
        <v>153</v>
      </c>
      <c r="O118" t="s">
        <v>459</v>
      </c>
      <c r="P118" t="s">
        <v>50</v>
      </c>
      <c r="Q118">
        <v>9</v>
      </c>
      <c r="R118">
        <v>531.99</v>
      </c>
      <c r="S118" s="6">
        <v>0.25</v>
      </c>
      <c r="T118" s="6">
        <f t="shared" si="12"/>
        <v>0.25</v>
      </c>
      <c r="U118">
        <v>3590.93</v>
      </c>
      <c r="V118">
        <f t="shared" si="13"/>
        <v>3590.9324999999999</v>
      </c>
      <c r="W118" s="6">
        <f t="shared" si="14"/>
        <v>2.5000000000545697E-3</v>
      </c>
      <c r="X118">
        <v>3061.39</v>
      </c>
      <c r="Y118">
        <v>529.54</v>
      </c>
      <c r="Z118">
        <f t="shared" si="15"/>
        <v>529.54250000000002</v>
      </c>
      <c r="AA118" s="6">
        <f t="shared" si="16"/>
        <v>2.5000000000545697E-3</v>
      </c>
      <c r="AB118">
        <f t="shared" si="17"/>
        <v>0.14746657031286442</v>
      </c>
      <c r="AC118" t="s">
        <v>155</v>
      </c>
      <c r="AD118" t="s">
        <v>68</v>
      </c>
      <c r="AE118" t="s">
        <v>2827</v>
      </c>
      <c r="AF118" s="10" t="s">
        <v>2796</v>
      </c>
    </row>
    <row r="119" spans="1:32">
      <c r="A119" t="s">
        <v>460</v>
      </c>
      <c r="B119" s="3">
        <v>45337</v>
      </c>
      <c r="C119" t="str">
        <f t="shared" si="10"/>
        <v>February</v>
      </c>
      <c r="D119">
        <f t="shared" si="11"/>
        <v>2024</v>
      </c>
      <c r="E119" s="3">
        <v>45339</v>
      </c>
      <c r="F119">
        <f t="shared" si="9"/>
        <v>2</v>
      </c>
      <c r="G119" t="s">
        <v>461</v>
      </c>
      <c r="H119" t="s">
        <v>36</v>
      </c>
      <c r="I119" t="s">
        <v>95</v>
      </c>
      <c r="J119" t="s">
        <v>54</v>
      </c>
      <c r="K119" t="s">
        <v>247</v>
      </c>
      <c r="L119" t="s">
        <v>248</v>
      </c>
      <c r="M119" t="s">
        <v>74</v>
      </c>
      <c r="N119" t="s">
        <v>274</v>
      </c>
      <c r="O119" t="s">
        <v>462</v>
      </c>
      <c r="P119" t="s">
        <v>59</v>
      </c>
      <c r="Q119">
        <v>9</v>
      </c>
      <c r="R119">
        <v>3324.55</v>
      </c>
      <c r="S119" s="6">
        <v>0.7</v>
      </c>
      <c r="T119" s="6">
        <f t="shared" si="12"/>
        <v>0.7</v>
      </c>
      <c r="U119">
        <v>25432.81</v>
      </c>
      <c r="V119">
        <f t="shared" si="13"/>
        <v>8976.2850000000017</v>
      </c>
      <c r="W119" s="6">
        <f t="shared" si="14"/>
        <v>-16456.525000000001</v>
      </c>
      <c r="X119">
        <v>20370.16</v>
      </c>
      <c r="Y119">
        <v>5062.6499999999996</v>
      </c>
      <c r="Z119">
        <f t="shared" si="15"/>
        <v>-11393.874999999998</v>
      </c>
      <c r="AA119" s="6">
        <f t="shared" si="16"/>
        <v>-16456.524999999998</v>
      </c>
      <c r="AB119">
        <f t="shared" si="17"/>
        <v>-1.2693307977632167</v>
      </c>
      <c r="AC119" t="s">
        <v>32</v>
      </c>
      <c r="AD119" t="s">
        <v>33</v>
      </c>
      <c r="AE119" t="s">
        <v>2826</v>
      </c>
      <c r="AF119" s="10" t="s">
        <v>2791</v>
      </c>
    </row>
    <row r="120" spans="1:32">
      <c r="A120" t="s">
        <v>463</v>
      </c>
      <c r="B120" s="3">
        <v>45453</v>
      </c>
      <c r="C120" t="str">
        <f t="shared" si="10"/>
        <v>June</v>
      </c>
      <c r="D120">
        <f t="shared" si="11"/>
        <v>2024</v>
      </c>
      <c r="E120" s="3">
        <v>45461</v>
      </c>
      <c r="F120">
        <f t="shared" si="9"/>
        <v>8</v>
      </c>
      <c r="G120" t="s">
        <v>464</v>
      </c>
      <c r="H120" t="s">
        <v>71</v>
      </c>
      <c r="I120" t="s">
        <v>95</v>
      </c>
      <c r="J120" t="s">
        <v>54</v>
      </c>
      <c r="K120" t="s">
        <v>84</v>
      </c>
      <c r="L120" t="s">
        <v>85</v>
      </c>
      <c r="M120" t="s">
        <v>74</v>
      </c>
      <c r="N120" t="s">
        <v>80</v>
      </c>
      <c r="O120" t="s">
        <v>465</v>
      </c>
      <c r="P120" t="s">
        <v>44</v>
      </c>
      <c r="Q120">
        <v>5</v>
      </c>
      <c r="R120">
        <v>1580.27</v>
      </c>
      <c r="S120" s="6">
        <v>0.2</v>
      </c>
      <c r="T120" s="6">
        <f t="shared" si="12"/>
        <v>0.2</v>
      </c>
      <c r="U120">
        <v>6321.08</v>
      </c>
      <c r="V120">
        <f t="shared" si="13"/>
        <v>6321.0800000000008</v>
      </c>
      <c r="W120" s="6">
        <f t="shared" si="14"/>
        <v>0</v>
      </c>
      <c r="X120">
        <v>4407.22</v>
      </c>
      <c r="Y120">
        <v>1913.86</v>
      </c>
      <c r="Z120">
        <f t="shared" si="15"/>
        <v>1913.8600000000006</v>
      </c>
      <c r="AA120" s="6">
        <f t="shared" si="16"/>
        <v>0</v>
      </c>
      <c r="AB120">
        <f t="shared" si="17"/>
        <v>0.30277420947053357</v>
      </c>
      <c r="AC120" t="s">
        <v>32</v>
      </c>
      <c r="AD120" t="s">
        <v>33</v>
      </c>
      <c r="AE120" t="s">
        <v>2828</v>
      </c>
    </row>
    <row r="121" spans="1:32">
      <c r="A121" t="s">
        <v>466</v>
      </c>
      <c r="B121" s="3">
        <v>45632</v>
      </c>
      <c r="C121" t="str">
        <f t="shared" si="10"/>
        <v>December</v>
      </c>
      <c r="D121">
        <f t="shared" si="11"/>
        <v>2024</v>
      </c>
      <c r="E121" s="3">
        <v>45462</v>
      </c>
      <c r="F121">
        <f t="shared" si="9"/>
        <v>-170</v>
      </c>
      <c r="G121" t="s">
        <v>467</v>
      </c>
      <c r="H121" t="s">
        <v>89</v>
      </c>
      <c r="I121" t="s">
        <v>37</v>
      </c>
      <c r="J121" t="s">
        <v>54</v>
      </c>
      <c r="K121" t="s">
        <v>185</v>
      </c>
      <c r="L121" t="s">
        <v>186</v>
      </c>
      <c r="M121" t="s">
        <v>41</v>
      </c>
      <c r="N121" t="s">
        <v>66</v>
      </c>
      <c r="O121" t="s">
        <v>468</v>
      </c>
      <c r="P121" t="s">
        <v>59</v>
      </c>
      <c r="Q121">
        <v>8</v>
      </c>
      <c r="R121">
        <v>314.05</v>
      </c>
      <c r="S121" s="6">
        <v>0.25</v>
      </c>
      <c r="T121" s="6">
        <f t="shared" si="12"/>
        <v>0.25</v>
      </c>
      <c r="U121">
        <v>1884.3</v>
      </c>
      <c r="V121">
        <f t="shared" si="13"/>
        <v>1884.3000000000002</v>
      </c>
      <c r="W121" s="6">
        <f t="shared" si="14"/>
        <v>0</v>
      </c>
      <c r="X121">
        <v>1517.69</v>
      </c>
      <c r="Y121">
        <v>366.61</v>
      </c>
      <c r="Z121">
        <f t="shared" si="15"/>
        <v>366.61000000000013</v>
      </c>
      <c r="AA121" s="6">
        <f t="shared" si="16"/>
        <v>0</v>
      </c>
      <c r="AB121">
        <f t="shared" si="17"/>
        <v>0.19456031417502526</v>
      </c>
      <c r="AC121" t="s">
        <v>102</v>
      </c>
      <c r="AD121" t="s">
        <v>103</v>
      </c>
      <c r="AE121" t="s">
        <v>2826</v>
      </c>
      <c r="AF121" s="10" t="s">
        <v>2812</v>
      </c>
    </row>
    <row r="122" spans="1:32">
      <c r="A122" t="s">
        <v>469</v>
      </c>
      <c r="B122" s="3">
        <v>45573</v>
      </c>
      <c r="C122" t="str">
        <f t="shared" si="10"/>
        <v>October</v>
      </c>
      <c r="D122">
        <f t="shared" si="11"/>
        <v>2024</v>
      </c>
      <c r="E122" s="3">
        <v>45522</v>
      </c>
      <c r="F122">
        <f t="shared" si="9"/>
        <v>-51</v>
      </c>
      <c r="G122" t="s">
        <v>470</v>
      </c>
      <c r="H122" t="s">
        <v>132</v>
      </c>
      <c r="I122" t="s">
        <v>37</v>
      </c>
      <c r="J122" t="s">
        <v>38</v>
      </c>
      <c r="K122" t="s">
        <v>145</v>
      </c>
      <c r="L122" t="s">
        <v>146</v>
      </c>
      <c r="M122" t="s">
        <v>74</v>
      </c>
      <c r="N122" t="s">
        <v>171</v>
      </c>
      <c r="O122" t="s">
        <v>471</v>
      </c>
      <c r="P122" t="s">
        <v>59</v>
      </c>
      <c r="Q122">
        <v>1</v>
      </c>
      <c r="R122">
        <v>1823.67</v>
      </c>
      <c r="S122" s="6">
        <v>0.2</v>
      </c>
      <c r="T122" s="6">
        <f t="shared" si="12"/>
        <v>0.2</v>
      </c>
      <c r="U122">
        <v>1458.94</v>
      </c>
      <c r="V122">
        <f t="shared" si="13"/>
        <v>1458.9360000000001</v>
      </c>
      <c r="W122" s="6">
        <f t="shared" si="14"/>
        <v>-3.9999999999054126E-3</v>
      </c>
      <c r="X122">
        <v>893.2</v>
      </c>
      <c r="Y122">
        <v>565.74</v>
      </c>
      <c r="Z122">
        <f t="shared" si="15"/>
        <v>565.7360000000001</v>
      </c>
      <c r="AA122" s="6">
        <f t="shared" si="16"/>
        <v>-3.9999999999054126E-3</v>
      </c>
      <c r="AB122">
        <f t="shared" si="17"/>
        <v>0.38777300717783375</v>
      </c>
      <c r="AC122" t="s">
        <v>32</v>
      </c>
      <c r="AD122" t="s">
        <v>103</v>
      </c>
      <c r="AE122" t="s">
        <v>2826</v>
      </c>
      <c r="AF122" s="10" t="s">
        <v>2818</v>
      </c>
    </row>
    <row r="123" spans="1:32">
      <c r="A123" t="s">
        <v>472</v>
      </c>
      <c r="B123" s="3">
        <v>45891</v>
      </c>
      <c r="C123" t="str">
        <f t="shared" si="10"/>
        <v>August</v>
      </c>
      <c r="D123">
        <f t="shared" si="11"/>
        <v>2025</v>
      </c>
      <c r="E123" s="3">
        <v>45895</v>
      </c>
      <c r="F123">
        <f t="shared" si="9"/>
        <v>4</v>
      </c>
      <c r="G123" t="s">
        <v>473</v>
      </c>
      <c r="H123" t="s">
        <v>264</v>
      </c>
      <c r="I123" t="s">
        <v>37</v>
      </c>
      <c r="J123" t="s">
        <v>54</v>
      </c>
      <c r="K123" t="s">
        <v>84</v>
      </c>
      <c r="L123" t="s">
        <v>85</v>
      </c>
      <c r="M123" t="s">
        <v>74</v>
      </c>
      <c r="N123" t="s">
        <v>274</v>
      </c>
      <c r="O123" t="s">
        <v>474</v>
      </c>
      <c r="P123" t="s">
        <v>31</v>
      </c>
      <c r="Q123">
        <v>5</v>
      </c>
      <c r="R123">
        <v>3482.92</v>
      </c>
      <c r="S123" s="6">
        <v>0</v>
      </c>
      <c r="T123" s="6">
        <f t="shared" si="12"/>
        <v>0</v>
      </c>
      <c r="U123">
        <v>17414.599999999999</v>
      </c>
      <c r="V123">
        <f t="shared" si="13"/>
        <v>17414.599999999999</v>
      </c>
      <c r="W123" s="6">
        <f t="shared" si="14"/>
        <v>0</v>
      </c>
      <c r="X123">
        <v>11760.91</v>
      </c>
      <c r="Y123">
        <v>5653.69</v>
      </c>
      <c r="Z123">
        <f t="shared" si="15"/>
        <v>5653.6899999999987</v>
      </c>
      <c r="AA123" s="6">
        <f t="shared" si="16"/>
        <v>0</v>
      </c>
      <c r="AB123">
        <f t="shared" si="17"/>
        <v>0.3246523032398102</v>
      </c>
      <c r="AC123" t="s">
        <v>102</v>
      </c>
      <c r="AD123" t="s">
        <v>68</v>
      </c>
      <c r="AE123" t="s">
        <v>2827</v>
      </c>
      <c r="AF123" t="s">
        <v>2808</v>
      </c>
    </row>
    <row r="124" spans="1:32">
      <c r="A124" t="s">
        <v>475</v>
      </c>
      <c r="B124" s="3">
        <v>45626</v>
      </c>
      <c r="C124" t="str">
        <f t="shared" si="10"/>
        <v>November</v>
      </c>
      <c r="D124">
        <f t="shared" si="11"/>
        <v>2024</v>
      </c>
      <c r="E124" s="3">
        <v>45394</v>
      </c>
      <c r="F124">
        <f t="shared" si="9"/>
        <v>-232</v>
      </c>
      <c r="G124" t="s">
        <v>476</v>
      </c>
      <c r="H124" t="s">
        <v>62</v>
      </c>
      <c r="I124" t="s">
        <v>37</v>
      </c>
      <c r="J124" t="s">
        <v>38</v>
      </c>
      <c r="K124" t="s">
        <v>166</v>
      </c>
      <c r="L124" t="s">
        <v>167</v>
      </c>
      <c r="M124" t="s">
        <v>41</v>
      </c>
      <c r="N124" t="s">
        <v>66</v>
      </c>
      <c r="O124" t="s">
        <v>477</v>
      </c>
      <c r="P124" t="s">
        <v>31</v>
      </c>
      <c r="Q124">
        <v>3</v>
      </c>
      <c r="R124">
        <v>170.35</v>
      </c>
      <c r="S124" s="6">
        <v>0</v>
      </c>
      <c r="T124" s="6">
        <f t="shared" si="12"/>
        <v>0</v>
      </c>
      <c r="U124">
        <v>511.05</v>
      </c>
      <c r="V124">
        <f t="shared" si="13"/>
        <v>511.04999999999995</v>
      </c>
      <c r="W124" s="6">
        <f t="shared" si="14"/>
        <v>0</v>
      </c>
      <c r="X124">
        <v>367.18</v>
      </c>
      <c r="Y124">
        <v>143.87</v>
      </c>
      <c r="Z124">
        <f t="shared" si="15"/>
        <v>143.86999999999995</v>
      </c>
      <c r="AA124" s="6">
        <f t="shared" si="16"/>
        <v>0</v>
      </c>
      <c r="AB124">
        <f t="shared" si="17"/>
        <v>0.28151844242246349</v>
      </c>
      <c r="AC124" t="s">
        <v>32</v>
      </c>
      <c r="AD124" t="s">
        <v>33</v>
      </c>
      <c r="AE124" t="s">
        <v>2826</v>
      </c>
      <c r="AF124" s="10" t="s">
        <v>2790</v>
      </c>
    </row>
    <row r="125" spans="1:32">
      <c r="A125" t="s">
        <v>478</v>
      </c>
      <c r="B125" s="3">
        <v>45436</v>
      </c>
      <c r="C125" t="str">
        <f t="shared" si="10"/>
        <v>May</v>
      </c>
      <c r="D125">
        <f t="shared" si="11"/>
        <v>2024</v>
      </c>
      <c r="E125" s="3">
        <v>45437</v>
      </c>
      <c r="F125">
        <f t="shared" si="9"/>
        <v>1</v>
      </c>
      <c r="G125" t="s">
        <v>479</v>
      </c>
      <c r="H125" t="s">
        <v>132</v>
      </c>
      <c r="I125" t="s">
        <v>37</v>
      </c>
      <c r="J125" t="s">
        <v>25</v>
      </c>
      <c r="K125" t="s">
        <v>122</v>
      </c>
      <c r="L125" t="s">
        <v>123</v>
      </c>
      <c r="M125" t="s">
        <v>74</v>
      </c>
      <c r="N125" t="s">
        <v>80</v>
      </c>
      <c r="O125" t="s">
        <v>480</v>
      </c>
      <c r="P125" t="s">
        <v>44</v>
      </c>
      <c r="Q125">
        <v>1</v>
      </c>
      <c r="R125">
        <v>634.13</v>
      </c>
      <c r="S125" s="6">
        <v>0</v>
      </c>
      <c r="T125" s="6">
        <f t="shared" si="12"/>
        <v>0</v>
      </c>
      <c r="U125">
        <v>634.13</v>
      </c>
      <c r="V125">
        <f t="shared" si="13"/>
        <v>634.13</v>
      </c>
      <c r="W125" s="6">
        <f t="shared" si="14"/>
        <v>0</v>
      </c>
      <c r="X125">
        <v>453.35</v>
      </c>
      <c r="Y125">
        <v>180.78</v>
      </c>
      <c r="Z125">
        <f t="shared" si="15"/>
        <v>180.77999999999997</v>
      </c>
      <c r="AA125" s="6">
        <f t="shared" si="16"/>
        <v>0</v>
      </c>
      <c r="AB125">
        <f t="shared" si="17"/>
        <v>0.28508350022865969</v>
      </c>
      <c r="AC125" t="s">
        <v>102</v>
      </c>
      <c r="AD125" t="s">
        <v>68</v>
      </c>
      <c r="AE125" t="s">
        <v>2826</v>
      </c>
      <c r="AF125" s="10" t="s">
        <v>2809</v>
      </c>
    </row>
    <row r="126" spans="1:32">
      <c r="A126" t="s">
        <v>481</v>
      </c>
      <c r="B126" s="3">
        <v>45494</v>
      </c>
      <c r="C126" t="str">
        <f t="shared" si="10"/>
        <v>July</v>
      </c>
      <c r="D126">
        <f t="shared" si="11"/>
        <v>2024</v>
      </c>
      <c r="E126" s="3">
        <v>45497</v>
      </c>
      <c r="F126">
        <f t="shared" si="9"/>
        <v>3</v>
      </c>
      <c r="G126" t="s">
        <v>482</v>
      </c>
      <c r="H126" t="s">
        <v>47</v>
      </c>
      <c r="I126" t="s">
        <v>90</v>
      </c>
      <c r="J126" t="s">
        <v>54</v>
      </c>
      <c r="K126" t="s">
        <v>175</v>
      </c>
      <c r="L126" t="s">
        <v>176</v>
      </c>
      <c r="M126" t="s">
        <v>74</v>
      </c>
      <c r="N126" t="s">
        <v>80</v>
      </c>
      <c r="O126" t="s">
        <v>483</v>
      </c>
      <c r="P126" t="s">
        <v>59</v>
      </c>
      <c r="Q126">
        <v>9</v>
      </c>
      <c r="R126">
        <v>465.06</v>
      </c>
      <c r="S126" s="6">
        <v>-0.15</v>
      </c>
      <c r="T126" s="6">
        <f t="shared" si="12"/>
        <v>0.15</v>
      </c>
      <c r="U126">
        <v>4185.54</v>
      </c>
      <c r="V126">
        <f t="shared" si="13"/>
        <v>3557.7089999999998</v>
      </c>
      <c r="W126" s="6">
        <f t="shared" si="14"/>
        <v>-627.83100000000013</v>
      </c>
      <c r="X126">
        <v>3443.74</v>
      </c>
      <c r="Y126">
        <v>741.8</v>
      </c>
      <c r="Z126">
        <f t="shared" si="15"/>
        <v>113.96900000000005</v>
      </c>
      <c r="AA126" s="6">
        <f t="shared" si="16"/>
        <v>-627.8309999999999</v>
      </c>
      <c r="AB126">
        <f t="shared" si="17"/>
        <v>3.2034379427884646E-2</v>
      </c>
      <c r="AC126" t="s">
        <v>32</v>
      </c>
      <c r="AD126" t="s">
        <v>33</v>
      </c>
      <c r="AE126" t="s">
        <v>2826</v>
      </c>
      <c r="AF126" s="10" t="s">
        <v>2791</v>
      </c>
    </row>
    <row r="127" spans="1:32">
      <c r="A127" t="s">
        <v>484</v>
      </c>
      <c r="B127" s="3">
        <v>45855</v>
      </c>
      <c r="C127" t="str">
        <f t="shared" si="10"/>
        <v>July</v>
      </c>
      <c r="D127">
        <f t="shared" si="11"/>
        <v>2025</v>
      </c>
      <c r="E127" s="3">
        <v>45856</v>
      </c>
      <c r="F127">
        <f t="shared" si="9"/>
        <v>1</v>
      </c>
      <c r="G127" t="s">
        <v>485</v>
      </c>
      <c r="H127" t="s">
        <v>79</v>
      </c>
      <c r="I127" t="s">
        <v>37</v>
      </c>
      <c r="J127" t="s">
        <v>63</v>
      </c>
      <c r="K127" t="s">
        <v>26</v>
      </c>
      <c r="L127" t="s">
        <v>109</v>
      </c>
      <c r="M127" t="s">
        <v>41</v>
      </c>
      <c r="N127" t="s">
        <v>42</v>
      </c>
      <c r="O127" t="s">
        <v>486</v>
      </c>
      <c r="P127" t="s">
        <v>44</v>
      </c>
      <c r="Q127">
        <v>6</v>
      </c>
      <c r="R127">
        <v>3235.27</v>
      </c>
      <c r="S127" s="6">
        <v>0.25</v>
      </c>
      <c r="T127" s="6">
        <f t="shared" si="12"/>
        <v>0.25</v>
      </c>
      <c r="U127">
        <v>14558.72</v>
      </c>
      <c r="V127">
        <f t="shared" si="13"/>
        <v>14558.715</v>
      </c>
      <c r="W127" s="6">
        <f t="shared" si="14"/>
        <v>-4.9999999991996447E-3</v>
      </c>
      <c r="X127">
        <v>9591.48</v>
      </c>
      <c r="Y127">
        <v>4967.24</v>
      </c>
      <c r="Z127">
        <f t="shared" si="15"/>
        <v>4967.2350000000006</v>
      </c>
      <c r="AA127" s="6">
        <f t="shared" si="16"/>
        <v>-4.9999999991996447E-3</v>
      </c>
      <c r="AB127">
        <f t="shared" si="17"/>
        <v>0.34118636157105903</v>
      </c>
      <c r="AC127" t="s">
        <v>102</v>
      </c>
      <c r="AD127" t="s">
        <v>103</v>
      </c>
      <c r="AE127" t="s">
        <v>2827</v>
      </c>
      <c r="AF127" t="s">
        <v>2807</v>
      </c>
    </row>
    <row r="128" spans="1:32">
      <c r="A128" t="s">
        <v>487</v>
      </c>
      <c r="B128" s="3">
        <v>45924</v>
      </c>
      <c r="C128" t="str">
        <f t="shared" si="10"/>
        <v>September</v>
      </c>
      <c r="D128">
        <f t="shared" si="11"/>
        <v>2025</v>
      </c>
      <c r="E128" s="3">
        <v>45926</v>
      </c>
      <c r="F128">
        <f t="shared" si="9"/>
        <v>2</v>
      </c>
      <c r="G128" t="s">
        <v>488</v>
      </c>
      <c r="H128" t="s">
        <v>114</v>
      </c>
      <c r="I128" t="s">
        <v>90</v>
      </c>
      <c r="J128" t="s">
        <v>25</v>
      </c>
      <c r="K128" t="s">
        <v>350</v>
      </c>
      <c r="L128" t="s">
        <v>351</v>
      </c>
      <c r="M128" t="s">
        <v>74</v>
      </c>
      <c r="N128" t="s">
        <v>80</v>
      </c>
      <c r="O128" t="s">
        <v>489</v>
      </c>
      <c r="P128" t="s">
        <v>59</v>
      </c>
      <c r="Q128">
        <v>3</v>
      </c>
      <c r="R128">
        <v>1593.86</v>
      </c>
      <c r="S128" s="6">
        <v>0.1</v>
      </c>
      <c r="T128" s="6">
        <f t="shared" si="12"/>
        <v>0.1</v>
      </c>
      <c r="U128">
        <v>4303.42</v>
      </c>
      <c r="V128">
        <f t="shared" si="13"/>
        <v>4303.4220000000005</v>
      </c>
      <c r="W128" s="6">
        <f t="shared" si="14"/>
        <v>2.0000000004074536E-3</v>
      </c>
      <c r="X128">
        <v>2568.5700000000002</v>
      </c>
      <c r="Y128">
        <v>1734.85</v>
      </c>
      <c r="Z128">
        <f t="shared" si="15"/>
        <v>1734.8520000000003</v>
      </c>
      <c r="AA128" s="6">
        <f t="shared" si="16"/>
        <v>2.0000000004074536E-3</v>
      </c>
      <c r="AB128">
        <f t="shared" si="17"/>
        <v>0.40313313451481175</v>
      </c>
      <c r="AC128" t="s">
        <v>32</v>
      </c>
      <c r="AD128" t="s">
        <v>33</v>
      </c>
      <c r="AE128" t="s">
        <v>2828</v>
      </c>
    </row>
    <row r="129" spans="1:32">
      <c r="A129" t="s">
        <v>490</v>
      </c>
      <c r="B129" s="3">
        <v>45687</v>
      </c>
      <c r="C129" t="str">
        <f t="shared" si="10"/>
        <v>January</v>
      </c>
      <c r="D129">
        <f t="shared" si="11"/>
        <v>2025</v>
      </c>
      <c r="E129" s="3">
        <v>45683</v>
      </c>
      <c r="F129">
        <f t="shared" si="9"/>
        <v>-4</v>
      </c>
      <c r="G129" t="s">
        <v>491</v>
      </c>
      <c r="H129" t="s">
        <v>114</v>
      </c>
      <c r="I129" t="s">
        <v>90</v>
      </c>
      <c r="J129" t="s">
        <v>63</v>
      </c>
      <c r="K129" t="s">
        <v>72</v>
      </c>
      <c r="L129" t="s">
        <v>73</v>
      </c>
      <c r="M129" t="s">
        <v>28</v>
      </c>
      <c r="N129" t="s">
        <v>124</v>
      </c>
      <c r="O129" t="s">
        <v>492</v>
      </c>
      <c r="P129" t="s">
        <v>31</v>
      </c>
      <c r="Q129">
        <v>2</v>
      </c>
      <c r="R129">
        <v>3039.3</v>
      </c>
      <c r="S129" s="6">
        <v>0.05</v>
      </c>
      <c r="T129" s="6">
        <f t="shared" si="12"/>
        <v>0.05</v>
      </c>
      <c r="U129">
        <v>5774.67</v>
      </c>
      <c r="V129">
        <f t="shared" si="13"/>
        <v>5774.67</v>
      </c>
      <c r="W129" s="6">
        <f t="shared" si="14"/>
        <v>0</v>
      </c>
      <c r="X129">
        <v>3518.36</v>
      </c>
      <c r="Y129">
        <v>2256.31</v>
      </c>
      <c r="Z129">
        <f t="shared" si="15"/>
        <v>2256.31</v>
      </c>
      <c r="AA129" s="6">
        <f t="shared" si="16"/>
        <v>0</v>
      </c>
      <c r="AB129">
        <f t="shared" si="17"/>
        <v>0.39072535746631409</v>
      </c>
      <c r="AC129" t="s">
        <v>32</v>
      </c>
      <c r="AD129" t="s">
        <v>33</v>
      </c>
      <c r="AE129" t="s">
        <v>2826</v>
      </c>
      <c r="AF129" s="10" t="s">
        <v>2790</v>
      </c>
    </row>
    <row r="130" spans="1:32">
      <c r="A130" t="s">
        <v>493</v>
      </c>
      <c r="B130" s="3">
        <v>45639</v>
      </c>
      <c r="C130" t="str">
        <f t="shared" si="10"/>
        <v>December</v>
      </c>
      <c r="D130">
        <f t="shared" si="11"/>
        <v>2024</v>
      </c>
      <c r="E130" s="3">
        <v>45642</v>
      </c>
      <c r="F130">
        <f t="shared" ref="F130:F193" si="18">E130-B130</f>
        <v>3</v>
      </c>
      <c r="G130" t="s">
        <v>494</v>
      </c>
      <c r="H130" t="s">
        <v>79</v>
      </c>
      <c r="I130" t="s">
        <v>37</v>
      </c>
      <c r="J130" t="s">
        <v>38</v>
      </c>
      <c r="K130" t="s">
        <v>39</v>
      </c>
      <c r="L130" t="s">
        <v>40</v>
      </c>
      <c r="M130" t="s">
        <v>41</v>
      </c>
      <c r="N130" t="s">
        <v>57</v>
      </c>
      <c r="O130" t="s">
        <v>495</v>
      </c>
      <c r="P130" t="s">
        <v>59</v>
      </c>
      <c r="Q130">
        <v>5</v>
      </c>
      <c r="R130">
        <v>923.45</v>
      </c>
      <c r="S130" s="6">
        <v>0.05</v>
      </c>
      <c r="T130" s="6">
        <f t="shared" si="12"/>
        <v>0.05</v>
      </c>
      <c r="U130">
        <v>4386.3900000000003</v>
      </c>
      <c r="V130">
        <f t="shared" si="13"/>
        <v>4386.3874999999998</v>
      </c>
      <c r="W130" s="6">
        <f t="shared" si="14"/>
        <v>-2.500000000509317E-3</v>
      </c>
      <c r="X130">
        <v>3366.88</v>
      </c>
      <c r="Y130">
        <v>1019.51</v>
      </c>
      <c r="Z130">
        <f t="shared" si="15"/>
        <v>1019.5074999999997</v>
      </c>
      <c r="AA130" s="6">
        <f t="shared" si="16"/>
        <v>-2.5000000002819434E-3</v>
      </c>
      <c r="AB130">
        <f t="shared" si="17"/>
        <v>0.2324253158208206</v>
      </c>
      <c r="AC130" t="s">
        <v>32</v>
      </c>
      <c r="AD130" t="s">
        <v>103</v>
      </c>
      <c r="AE130" t="s">
        <v>2827</v>
      </c>
      <c r="AF130" t="s">
        <v>103</v>
      </c>
    </row>
    <row r="131" spans="1:32">
      <c r="A131" t="s">
        <v>496</v>
      </c>
      <c r="B131" s="3">
        <v>45492</v>
      </c>
      <c r="C131" t="str">
        <f t="shared" ref="C131:C194" si="19">TEXT(B131, "mmmm")</f>
        <v>July</v>
      </c>
      <c r="D131">
        <f t="shared" ref="D131:D194" si="20">YEAR(B131)</f>
        <v>2024</v>
      </c>
      <c r="E131" s="3">
        <v>45498</v>
      </c>
      <c r="F131">
        <f t="shared" si="18"/>
        <v>6</v>
      </c>
      <c r="G131" t="s">
        <v>497</v>
      </c>
      <c r="H131" t="s">
        <v>47</v>
      </c>
      <c r="I131" t="s">
        <v>37</v>
      </c>
      <c r="J131" t="s">
        <v>63</v>
      </c>
      <c r="K131" t="s">
        <v>190</v>
      </c>
      <c r="L131" t="s">
        <v>191</v>
      </c>
      <c r="M131" t="s">
        <v>28</v>
      </c>
      <c r="N131" t="s">
        <v>153</v>
      </c>
      <c r="O131" t="s">
        <v>498</v>
      </c>
      <c r="P131" t="s">
        <v>59</v>
      </c>
      <c r="Q131">
        <v>7</v>
      </c>
      <c r="R131">
        <v>2741.29</v>
      </c>
      <c r="S131" s="6">
        <v>0.05</v>
      </c>
      <c r="T131" s="6">
        <f t="shared" ref="T131:T194" si="21">ABS(S131)</f>
        <v>0.05</v>
      </c>
      <c r="U131">
        <v>18229.580000000002</v>
      </c>
      <c r="V131">
        <f t="shared" ref="V131:V194" si="22">Q131*R131*(1-T131)</f>
        <v>18229.5785</v>
      </c>
      <c r="W131" s="6">
        <f t="shared" ref="W131:W194" si="23">V131-U131</f>
        <v>-1.5000000021245796E-3</v>
      </c>
      <c r="X131">
        <v>15139.15</v>
      </c>
      <c r="Y131">
        <v>3090.43</v>
      </c>
      <c r="Z131">
        <f t="shared" ref="Z131:Z194" si="24">V131-X131</f>
        <v>3090.4285</v>
      </c>
      <c r="AA131" s="6">
        <f t="shared" ref="AA131:AA194" si="25">Z131-Y131</f>
        <v>-1.4999999998508429E-3</v>
      </c>
      <c r="AB131">
        <f t="shared" ref="AB131:AB194" si="26">Z131/V131</f>
        <v>0.16952824773211295</v>
      </c>
      <c r="AC131" t="s">
        <v>32</v>
      </c>
      <c r="AD131" t="s">
        <v>33</v>
      </c>
      <c r="AE131" t="s">
        <v>2828</v>
      </c>
    </row>
    <row r="132" spans="1:32">
      <c r="A132" t="s">
        <v>499</v>
      </c>
      <c r="B132" s="3">
        <v>45318</v>
      </c>
      <c r="C132" t="str">
        <f t="shared" si="19"/>
        <v>January</v>
      </c>
      <c r="D132">
        <f t="shared" si="20"/>
        <v>2024</v>
      </c>
      <c r="E132" s="3">
        <v>45324</v>
      </c>
      <c r="F132">
        <f t="shared" si="18"/>
        <v>6</v>
      </c>
      <c r="G132" t="s">
        <v>500</v>
      </c>
      <c r="H132" t="s">
        <v>53</v>
      </c>
      <c r="I132" t="s">
        <v>24</v>
      </c>
      <c r="J132" t="s">
        <v>63</v>
      </c>
      <c r="K132" t="s">
        <v>180</v>
      </c>
      <c r="L132" t="s">
        <v>181</v>
      </c>
      <c r="M132" t="s">
        <v>28</v>
      </c>
      <c r="N132" t="s">
        <v>91</v>
      </c>
      <c r="O132" t="s">
        <v>501</v>
      </c>
      <c r="P132" t="s">
        <v>44</v>
      </c>
      <c r="Q132">
        <v>5</v>
      </c>
      <c r="R132">
        <v>218.42</v>
      </c>
      <c r="S132" s="6">
        <v>0.2</v>
      </c>
      <c r="T132" s="6">
        <f t="shared" si="21"/>
        <v>0.2</v>
      </c>
      <c r="U132">
        <v>873.68</v>
      </c>
      <c r="V132">
        <f t="shared" si="22"/>
        <v>873.68</v>
      </c>
      <c r="W132" s="6">
        <f t="shared" si="23"/>
        <v>0</v>
      </c>
      <c r="X132">
        <v>661.72</v>
      </c>
      <c r="Y132">
        <v>211.96</v>
      </c>
      <c r="Z132">
        <f t="shared" si="24"/>
        <v>211.95999999999992</v>
      </c>
      <c r="AA132" s="6">
        <f t="shared" si="25"/>
        <v>0</v>
      </c>
      <c r="AB132">
        <f t="shared" si="26"/>
        <v>0.24260598846259493</v>
      </c>
      <c r="AC132" t="s">
        <v>111</v>
      </c>
      <c r="AD132" t="s">
        <v>68</v>
      </c>
      <c r="AE132" t="s">
        <v>2827</v>
      </c>
      <c r="AF132" t="s">
        <v>2804</v>
      </c>
    </row>
    <row r="133" spans="1:32">
      <c r="A133" t="s">
        <v>502</v>
      </c>
      <c r="B133" s="3">
        <v>45929</v>
      </c>
      <c r="C133" t="str">
        <f t="shared" si="19"/>
        <v>September</v>
      </c>
      <c r="D133">
        <f t="shared" si="20"/>
        <v>2025</v>
      </c>
      <c r="E133" s="3">
        <v>45757</v>
      </c>
      <c r="F133">
        <f t="shared" si="18"/>
        <v>-172</v>
      </c>
      <c r="G133" t="s">
        <v>503</v>
      </c>
      <c r="H133" t="s">
        <v>62</v>
      </c>
      <c r="I133" t="s">
        <v>95</v>
      </c>
      <c r="J133" t="s">
        <v>38</v>
      </c>
      <c r="K133" t="s">
        <v>228</v>
      </c>
      <c r="L133" t="s">
        <v>229</v>
      </c>
      <c r="M133" t="s">
        <v>28</v>
      </c>
      <c r="N133" t="s">
        <v>29</v>
      </c>
      <c r="O133" t="s">
        <v>504</v>
      </c>
      <c r="P133" t="s">
        <v>44</v>
      </c>
      <c r="Q133">
        <v>9</v>
      </c>
      <c r="R133">
        <v>373.91</v>
      </c>
      <c r="S133" s="6">
        <v>0.2</v>
      </c>
      <c r="T133" s="6">
        <f t="shared" si="21"/>
        <v>0.2</v>
      </c>
      <c r="U133">
        <v>2692.15</v>
      </c>
      <c r="V133">
        <f t="shared" si="22"/>
        <v>2692.152</v>
      </c>
      <c r="W133" s="6">
        <f t="shared" si="23"/>
        <v>1.9999999999527063E-3</v>
      </c>
      <c r="X133">
        <v>2044.49</v>
      </c>
      <c r="Y133">
        <v>647.66</v>
      </c>
      <c r="Z133">
        <f t="shared" si="24"/>
        <v>647.66200000000003</v>
      </c>
      <c r="AA133" s="6">
        <f t="shared" si="25"/>
        <v>2.0000000000663931E-3</v>
      </c>
      <c r="AB133">
        <f t="shared" si="26"/>
        <v>0.24057408348414205</v>
      </c>
      <c r="AC133" t="s">
        <v>32</v>
      </c>
      <c r="AD133" t="s">
        <v>33</v>
      </c>
      <c r="AE133" t="s">
        <v>2826</v>
      </c>
      <c r="AF133" s="10" t="s">
        <v>2790</v>
      </c>
    </row>
    <row r="134" spans="1:32">
      <c r="A134" t="s">
        <v>505</v>
      </c>
      <c r="B134" s="3">
        <v>45393</v>
      </c>
      <c r="C134" t="str">
        <f t="shared" si="19"/>
        <v>April</v>
      </c>
      <c r="D134">
        <f t="shared" si="20"/>
        <v>2024</v>
      </c>
      <c r="E134" s="3">
        <v>45393</v>
      </c>
      <c r="F134">
        <f t="shared" si="18"/>
        <v>0</v>
      </c>
      <c r="G134" t="s">
        <v>506</v>
      </c>
      <c r="H134" t="s">
        <v>264</v>
      </c>
      <c r="I134" t="s">
        <v>90</v>
      </c>
      <c r="J134" t="s">
        <v>38</v>
      </c>
      <c r="K134" t="s">
        <v>166</v>
      </c>
      <c r="L134" t="s">
        <v>167</v>
      </c>
      <c r="M134" t="s">
        <v>74</v>
      </c>
      <c r="N134" t="s">
        <v>274</v>
      </c>
      <c r="O134" t="s">
        <v>507</v>
      </c>
      <c r="P134" t="s">
        <v>50</v>
      </c>
      <c r="Q134">
        <v>2</v>
      </c>
      <c r="R134">
        <v>533.08000000000004</v>
      </c>
      <c r="S134" s="6">
        <v>0</v>
      </c>
      <c r="T134" s="6">
        <f t="shared" si="21"/>
        <v>0</v>
      </c>
      <c r="U134">
        <v>1066.1600000000001</v>
      </c>
      <c r="V134">
        <f t="shared" si="22"/>
        <v>1066.1600000000001</v>
      </c>
      <c r="W134" s="6">
        <f t="shared" si="23"/>
        <v>0</v>
      </c>
      <c r="X134">
        <v>656.3</v>
      </c>
      <c r="Y134">
        <v>409.86</v>
      </c>
      <c r="Z134">
        <f t="shared" si="24"/>
        <v>409.86000000000013</v>
      </c>
      <c r="AA134" s="6">
        <f t="shared" si="25"/>
        <v>0</v>
      </c>
      <c r="AB134">
        <f t="shared" si="26"/>
        <v>0.38442635251744589</v>
      </c>
      <c r="AC134" t="s">
        <v>155</v>
      </c>
      <c r="AD134" t="s">
        <v>68</v>
      </c>
      <c r="AE134" t="s">
        <v>2827</v>
      </c>
      <c r="AF134" s="10" t="s">
        <v>2796</v>
      </c>
    </row>
    <row r="135" spans="1:32">
      <c r="A135" t="s">
        <v>508</v>
      </c>
      <c r="B135" s="3">
        <v>45639</v>
      </c>
      <c r="C135" t="str">
        <f t="shared" si="19"/>
        <v>December</v>
      </c>
      <c r="D135">
        <f t="shared" si="20"/>
        <v>2024</v>
      </c>
      <c r="E135" s="3">
        <v>45644</v>
      </c>
      <c r="F135">
        <f t="shared" si="18"/>
        <v>5</v>
      </c>
      <c r="G135" t="s">
        <v>509</v>
      </c>
      <c r="H135" t="s">
        <v>23</v>
      </c>
      <c r="I135" t="s">
        <v>24</v>
      </c>
      <c r="J135" t="s">
        <v>63</v>
      </c>
      <c r="K135" t="s">
        <v>190</v>
      </c>
      <c r="L135" t="s">
        <v>191</v>
      </c>
      <c r="M135" t="s">
        <v>74</v>
      </c>
      <c r="N135" t="s">
        <v>171</v>
      </c>
      <c r="O135" t="s">
        <v>510</v>
      </c>
      <c r="P135" t="s">
        <v>31</v>
      </c>
      <c r="Q135">
        <v>8</v>
      </c>
      <c r="R135">
        <v>3372.15</v>
      </c>
      <c r="S135" s="6">
        <v>0.15</v>
      </c>
      <c r="T135" s="6">
        <f t="shared" si="21"/>
        <v>0.15</v>
      </c>
      <c r="U135">
        <v>22930.62</v>
      </c>
      <c r="V135">
        <f t="shared" si="22"/>
        <v>22930.62</v>
      </c>
      <c r="W135" s="6">
        <f t="shared" si="23"/>
        <v>0</v>
      </c>
      <c r="X135">
        <v>16875.55</v>
      </c>
      <c r="Y135">
        <v>6055.07</v>
      </c>
      <c r="Z135">
        <f t="shared" si="24"/>
        <v>6055.07</v>
      </c>
      <c r="AA135" s="6">
        <f t="shared" si="25"/>
        <v>0</v>
      </c>
      <c r="AB135">
        <f t="shared" si="26"/>
        <v>0.26406045715292475</v>
      </c>
      <c r="AC135" t="s">
        <v>32</v>
      </c>
      <c r="AD135" t="s">
        <v>33</v>
      </c>
      <c r="AE135" t="s">
        <v>2828</v>
      </c>
    </row>
    <row r="136" spans="1:32">
      <c r="A136" t="s">
        <v>511</v>
      </c>
      <c r="B136" s="3">
        <v>45852</v>
      </c>
      <c r="C136" t="str">
        <f t="shared" si="19"/>
        <v>July</v>
      </c>
      <c r="D136">
        <f t="shared" si="20"/>
        <v>2025</v>
      </c>
      <c r="E136" s="3">
        <v>45852</v>
      </c>
      <c r="F136">
        <f t="shared" si="18"/>
        <v>0</v>
      </c>
      <c r="G136" t="s">
        <v>512</v>
      </c>
      <c r="H136" t="s">
        <v>71</v>
      </c>
      <c r="I136" t="s">
        <v>95</v>
      </c>
      <c r="J136" t="s">
        <v>38</v>
      </c>
      <c r="K136" t="s">
        <v>99</v>
      </c>
      <c r="L136" t="s">
        <v>100</v>
      </c>
      <c r="M136" t="s">
        <v>41</v>
      </c>
      <c r="N136" t="s">
        <v>158</v>
      </c>
      <c r="O136" t="s">
        <v>513</v>
      </c>
      <c r="P136" t="s">
        <v>2781</v>
      </c>
      <c r="Q136">
        <v>5</v>
      </c>
      <c r="R136">
        <v>383.1</v>
      </c>
      <c r="S136" s="6">
        <v>0.25</v>
      </c>
      <c r="T136" s="6">
        <f t="shared" si="21"/>
        <v>0.25</v>
      </c>
      <c r="U136">
        <v>1436.62</v>
      </c>
      <c r="V136">
        <f t="shared" si="22"/>
        <v>1436.625</v>
      </c>
      <c r="W136" s="6">
        <f t="shared" si="23"/>
        <v>5.0000000001091394E-3</v>
      </c>
      <c r="X136">
        <v>912.52</v>
      </c>
      <c r="Y136">
        <v>524.1</v>
      </c>
      <c r="Z136">
        <f t="shared" si="24"/>
        <v>524.10500000000002</v>
      </c>
      <c r="AA136" s="6">
        <f t="shared" si="25"/>
        <v>4.9999999999954525E-3</v>
      </c>
      <c r="AB136">
        <f t="shared" si="26"/>
        <v>0.36481684503610895</v>
      </c>
      <c r="AC136" t="s">
        <v>111</v>
      </c>
      <c r="AD136" t="s">
        <v>68</v>
      </c>
      <c r="AE136" t="s">
        <v>2827</v>
      </c>
      <c r="AF136" t="s">
        <v>2831</v>
      </c>
    </row>
    <row r="137" spans="1:32">
      <c r="A137" t="s">
        <v>514</v>
      </c>
      <c r="B137" s="3">
        <v>45893</v>
      </c>
      <c r="C137" t="str">
        <f t="shared" si="19"/>
        <v>August</v>
      </c>
      <c r="D137">
        <f t="shared" si="20"/>
        <v>2025</v>
      </c>
      <c r="E137" s="3">
        <v>45893</v>
      </c>
      <c r="F137">
        <f t="shared" si="18"/>
        <v>0</v>
      </c>
      <c r="G137" t="s">
        <v>515</v>
      </c>
      <c r="H137" t="s">
        <v>162</v>
      </c>
      <c r="I137" t="s">
        <v>37</v>
      </c>
      <c r="J137" t="s">
        <v>54</v>
      </c>
      <c r="K137" t="s">
        <v>185</v>
      </c>
      <c r="L137" t="s">
        <v>186</v>
      </c>
      <c r="M137" t="s">
        <v>41</v>
      </c>
      <c r="N137" t="s">
        <v>158</v>
      </c>
      <c r="O137" t="s">
        <v>516</v>
      </c>
      <c r="P137" t="s">
        <v>59</v>
      </c>
      <c r="Q137">
        <v>1</v>
      </c>
      <c r="R137">
        <v>3424.78</v>
      </c>
      <c r="S137" s="6">
        <v>0</v>
      </c>
      <c r="T137" s="6">
        <f t="shared" si="21"/>
        <v>0</v>
      </c>
      <c r="U137">
        <v>3424.78</v>
      </c>
      <c r="V137">
        <f t="shared" si="22"/>
        <v>3424.78</v>
      </c>
      <c r="W137" s="6">
        <f t="shared" si="23"/>
        <v>0</v>
      </c>
      <c r="X137">
        <v>1951.45</v>
      </c>
      <c r="Y137">
        <v>1473.33</v>
      </c>
      <c r="Z137">
        <f t="shared" si="24"/>
        <v>1473.3300000000002</v>
      </c>
      <c r="AA137" s="6">
        <f t="shared" si="25"/>
        <v>0</v>
      </c>
      <c r="AB137">
        <f t="shared" si="26"/>
        <v>0.43019697615613267</v>
      </c>
      <c r="AC137" t="s">
        <v>32</v>
      </c>
      <c r="AD137" t="s">
        <v>33</v>
      </c>
      <c r="AE137" t="s">
        <v>2828</v>
      </c>
    </row>
    <row r="138" spans="1:32">
      <c r="A138" t="s">
        <v>517</v>
      </c>
      <c r="B138" s="3">
        <v>45902</v>
      </c>
      <c r="C138" t="str">
        <f t="shared" si="19"/>
        <v>September</v>
      </c>
      <c r="D138">
        <f t="shared" si="20"/>
        <v>2025</v>
      </c>
      <c r="E138" s="3">
        <v>45703</v>
      </c>
      <c r="F138">
        <f t="shared" si="18"/>
        <v>-199</v>
      </c>
      <c r="G138" t="s">
        <v>518</v>
      </c>
      <c r="H138" t="s">
        <v>36</v>
      </c>
      <c r="I138" t="s">
        <v>95</v>
      </c>
      <c r="J138" t="s">
        <v>38</v>
      </c>
      <c r="K138" t="s">
        <v>228</v>
      </c>
      <c r="L138" t="s">
        <v>229</v>
      </c>
      <c r="M138" t="s">
        <v>28</v>
      </c>
      <c r="N138" t="s">
        <v>153</v>
      </c>
      <c r="O138" t="s">
        <v>519</v>
      </c>
      <c r="P138" t="s">
        <v>59</v>
      </c>
      <c r="Q138">
        <v>9</v>
      </c>
      <c r="R138">
        <v>4330.33</v>
      </c>
      <c r="S138" s="6">
        <v>0.2</v>
      </c>
      <c r="T138" s="6">
        <f t="shared" si="21"/>
        <v>0.2</v>
      </c>
      <c r="U138">
        <v>31178.38</v>
      </c>
      <c r="V138">
        <f t="shared" si="22"/>
        <v>31178.376000000004</v>
      </c>
      <c r="W138" s="6">
        <f t="shared" si="23"/>
        <v>-3.9999999971769284E-3</v>
      </c>
      <c r="X138">
        <v>21421.09</v>
      </c>
      <c r="Y138">
        <v>9757.2900000000009</v>
      </c>
      <c r="Z138">
        <f t="shared" si="24"/>
        <v>9757.2860000000037</v>
      </c>
      <c r="AA138" s="6">
        <f t="shared" si="25"/>
        <v>-3.9999999971769284E-3</v>
      </c>
      <c r="AB138">
        <f t="shared" si="26"/>
        <v>0.31295042435821552</v>
      </c>
      <c r="AC138" t="s">
        <v>32</v>
      </c>
      <c r="AD138" t="s">
        <v>33</v>
      </c>
      <c r="AE138" t="s">
        <v>2826</v>
      </c>
      <c r="AF138" s="10" t="s">
        <v>2790</v>
      </c>
    </row>
    <row r="139" spans="1:32">
      <c r="A139" t="s">
        <v>520</v>
      </c>
      <c r="B139" s="3">
        <v>45666</v>
      </c>
      <c r="C139" t="str">
        <f t="shared" si="19"/>
        <v>January</v>
      </c>
      <c r="D139">
        <f t="shared" si="20"/>
        <v>2025</v>
      </c>
      <c r="E139" s="3">
        <v>45901</v>
      </c>
      <c r="F139">
        <f t="shared" si="18"/>
        <v>235</v>
      </c>
      <c r="G139" t="s">
        <v>521</v>
      </c>
      <c r="H139" t="s">
        <v>132</v>
      </c>
      <c r="I139" t="s">
        <v>37</v>
      </c>
      <c r="J139" t="s">
        <v>25</v>
      </c>
      <c r="K139" t="s">
        <v>26</v>
      </c>
      <c r="L139" t="s">
        <v>27</v>
      </c>
      <c r="M139" t="s">
        <v>41</v>
      </c>
      <c r="N139" t="s">
        <v>66</v>
      </c>
      <c r="O139" t="s">
        <v>522</v>
      </c>
      <c r="P139" t="s">
        <v>44</v>
      </c>
      <c r="Q139">
        <v>8</v>
      </c>
      <c r="R139">
        <v>2667.07</v>
      </c>
      <c r="S139" s="6">
        <v>0.1</v>
      </c>
      <c r="T139" s="6">
        <f t="shared" si="21"/>
        <v>0.1</v>
      </c>
      <c r="U139">
        <v>19202.900000000001</v>
      </c>
      <c r="V139">
        <f t="shared" si="22"/>
        <v>19202.904000000002</v>
      </c>
      <c r="W139" s="6">
        <f t="shared" si="23"/>
        <v>4.0000000008149073E-3</v>
      </c>
      <c r="X139">
        <v>15526.62</v>
      </c>
      <c r="Y139">
        <v>3676.28</v>
      </c>
      <c r="Z139">
        <f t="shared" si="24"/>
        <v>3676.2840000000015</v>
      </c>
      <c r="AA139" s="6">
        <f t="shared" si="25"/>
        <v>4.0000000012696546E-3</v>
      </c>
      <c r="AB139">
        <f t="shared" si="26"/>
        <v>0.19144416906942829</v>
      </c>
      <c r="AC139" t="s">
        <v>32</v>
      </c>
      <c r="AD139" t="s">
        <v>33</v>
      </c>
      <c r="AE139" t="s">
        <v>2828</v>
      </c>
    </row>
    <row r="140" spans="1:32">
      <c r="A140" t="s">
        <v>523</v>
      </c>
      <c r="B140" s="3">
        <v>45311</v>
      </c>
      <c r="C140" t="str">
        <f t="shared" si="19"/>
        <v>January</v>
      </c>
      <c r="D140">
        <f t="shared" si="20"/>
        <v>2024</v>
      </c>
      <c r="E140" s="3">
        <v>45317</v>
      </c>
      <c r="F140">
        <f t="shared" si="18"/>
        <v>6</v>
      </c>
      <c r="G140" t="s">
        <v>524</v>
      </c>
      <c r="H140" t="s">
        <v>162</v>
      </c>
      <c r="I140" t="s">
        <v>95</v>
      </c>
      <c r="J140" t="s">
        <v>38</v>
      </c>
      <c r="K140" t="s">
        <v>228</v>
      </c>
      <c r="L140" t="s">
        <v>229</v>
      </c>
      <c r="M140" t="s">
        <v>74</v>
      </c>
      <c r="N140" t="s">
        <v>274</v>
      </c>
      <c r="O140" t="s">
        <v>525</v>
      </c>
      <c r="P140" t="s">
        <v>59</v>
      </c>
      <c r="Q140">
        <v>8</v>
      </c>
      <c r="R140">
        <v>4003.05</v>
      </c>
      <c r="S140" s="6">
        <v>0.25</v>
      </c>
      <c r="T140" s="6">
        <f t="shared" si="21"/>
        <v>0.25</v>
      </c>
      <c r="U140">
        <v>24018.3</v>
      </c>
      <c r="V140">
        <f t="shared" si="22"/>
        <v>24018.300000000003</v>
      </c>
      <c r="W140" s="6">
        <f t="shared" si="23"/>
        <v>0</v>
      </c>
      <c r="X140">
        <v>14070.78</v>
      </c>
      <c r="Y140">
        <v>9947.52</v>
      </c>
      <c r="Z140">
        <f t="shared" si="24"/>
        <v>9947.5200000000023</v>
      </c>
      <c r="AA140" s="6">
        <f t="shared" si="25"/>
        <v>0</v>
      </c>
      <c r="AB140">
        <f t="shared" si="26"/>
        <v>0.41416419979765434</v>
      </c>
      <c r="AC140" t="s">
        <v>32</v>
      </c>
      <c r="AD140" t="s">
        <v>33</v>
      </c>
      <c r="AE140" t="s">
        <v>2828</v>
      </c>
    </row>
    <row r="141" spans="1:32">
      <c r="A141" t="s">
        <v>526</v>
      </c>
      <c r="B141" s="3">
        <v>45718</v>
      </c>
      <c r="C141" t="str">
        <f t="shared" si="19"/>
        <v>March</v>
      </c>
      <c r="D141">
        <f t="shared" si="20"/>
        <v>2025</v>
      </c>
      <c r="E141" s="3">
        <v>45841</v>
      </c>
      <c r="F141">
        <f t="shared" si="18"/>
        <v>123</v>
      </c>
      <c r="G141" t="s">
        <v>527</v>
      </c>
      <c r="H141" t="s">
        <v>79</v>
      </c>
      <c r="I141" t="s">
        <v>95</v>
      </c>
      <c r="J141" t="s">
        <v>54</v>
      </c>
      <c r="K141" t="s">
        <v>175</v>
      </c>
      <c r="L141" t="s">
        <v>176</v>
      </c>
      <c r="M141" t="s">
        <v>28</v>
      </c>
      <c r="N141" t="s">
        <v>91</v>
      </c>
      <c r="O141" t="s">
        <v>528</v>
      </c>
      <c r="P141" t="s">
        <v>59</v>
      </c>
      <c r="Q141">
        <v>8</v>
      </c>
      <c r="R141">
        <v>1287.6300000000001</v>
      </c>
      <c r="S141" s="6">
        <v>0</v>
      </c>
      <c r="T141" s="6">
        <f t="shared" si="21"/>
        <v>0</v>
      </c>
      <c r="U141">
        <v>10301.040000000001</v>
      </c>
      <c r="V141">
        <f t="shared" si="22"/>
        <v>10301.040000000001</v>
      </c>
      <c r="W141" s="6">
        <f t="shared" si="23"/>
        <v>0</v>
      </c>
      <c r="X141">
        <v>6564.06</v>
      </c>
      <c r="Y141">
        <v>3736.98</v>
      </c>
      <c r="Z141">
        <f t="shared" si="24"/>
        <v>3736.9800000000005</v>
      </c>
      <c r="AA141" s="6">
        <f t="shared" si="25"/>
        <v>0</v>
      </c>
      <c r="AB141">
        <f t="shared" si="26"/>
        <v>0.3627769623261341</v>
      </c>
      <c r="AC141" t="s">
        <v>32</v>
      </c>
      <c r="AD141" t="s">
        <v>33</v>
      </c>
      <c r="AE141" t="s">
        <v>2828</v>
      </c>
    </row>
    <row r="142" spans="1:32">
      <c r="A142" t="s">
        <v>529</v>
      </c>
      <c r="B142" s="3">
        <v>45443</v>
      </c>
      <c r="C142" t="str">
        <f t="shared" si="19"/>
        <v>May</v>
      </c>
      <c r="D142">
        <f t="shared" si="20"/>
        <v>2024</v>
      </c>
      <c r="E142" s="3">
        <v>45297</v>
      </c>
      <c r="F142">
        <f t="shared" si="18"/>
        <v>-146</v>
      </c>
      <c r="G142" t="s">
        <v>530</v>
      </c>
      <c r="H142" t="s">
        <v>36</v>
      </c>
      <c r="I142" t="s">
        <v>90</v>
      </c>
      <c r="J142" t="s">
        <v>54</v>
      </c>
      <c r="K142" t="s">
        <v>175</v>
      </c>
      <c r="L142" t="s">
        <v>176</v>
      </c>
      <c r="M142" t="s">
        <v>41</v>
      </c>
      <c r="N142" t="s">
        <v>158</v>
      </c>
      <c r="O142" t="s">
        <v>531</v>
      </c>
      <c r="P142" t="s">
        <v>44</v>
      </c>
      <c r="Q142">
        <v>3</v>
      </c>
      <c r="R142">
        <v>2914.55</v>
      </c>
      <c r="S142" s="6">
        <v>0</v>
      </c>
      <c r="T142" s="6">
        <f t="shared" si="21"/>
        <v>0</v>
      </c>
      <c r="U142">
        <v>8743.65</v>
      </c>
      <c r="V142">
        <f t="shared" si="22"/>
        <v>8743.6500000000015</v>
      </c>
      <c r="W142" s="6">
        <f t="shared" si="23"/>
        <v>0</v>
      </c>
      <c r="X142">
        <v>6603.76</v>
      </c>
      <c r="Y142">
        <v>2139.89</v>
      </c>
      <c r="Z142">
        <f t="shared" si="24"/>
        <v>2139.8900000000012</v>
      </c>
      <c r="AA142" s="6">
        <f t="shared" si="25"/>
        <v>0</v>
      </c>
      <c r="AB142">
        <f t="shared" si="26"/>
        <v>0.24473646589239059</v>
      </c>
      <c r="AC142" t="s">
        <v>32</v>
      </c>
      <c r="AD142" t="s">
        <v>33</v>
      </c>
      <c r="AE142" t="s">
        <v>2826</v>
      </c>
      <c r="AF142" s="10" t="s">
        <v>2790</v>
      </c>
    </row>
    <row r="143" spans="1:32">
      <c r="A143" t="s">
        <v>532</v>
      </c>
      <c r="B143" s="3">
        <v>45374</v>
      </c>
      <c r="C143" t="str">
        <f t="shared" si="19"/>
        <v>March</v>
      </c>
      <c r="D143">
        <f t="shared" si="20"/>
        <v>2024</v>
      </c>
      <c r="E143" s="3">
        <v>45380</v>
      </c>
      <c r="F143">
        <f t="shared" si="18"/>
        <v>6</v>
      </c>
      <c r="G143" t="s">
        <v>533</v>
      </c>
      <c r="H143" t="s">
        <v>114</v>
      </c>
      <c r="I143" t="s">
        <v>90</v>
      </c>
      <c r="J143" t="s">
        <v>25</v>
      </c>
      <c r="K143" t="s">
        <v>350</v>
      </c>
      <c r="L143" t="s">
        <v>351</v>
      </c>
      <c r="M143" t="s">
        <v>41</v>
      </c>
      <c r="N143" t="s">
        <v>158</v>
      </c>
      <c r="O143" t="s">
        <v>534</v>
      </c>
      <c r="P143" t="s">
        <v>44</v>
      </c>
      <c r="Q143">
        <v>7</v>
      </c>
      <c r="R143">
        <v>634.29</v>
      </c>
      <c r="S143" s="6">
        <v>0.1</v>
      </c>
      <c r="T143" s="6">
        <f t="shared" si="21"/>
        <v>0.1</v>
      </c>
      <c r="U143">
        <v>3996.03</v>
      </c>
      <c r="V143">
        <f t="shared" si="22"/>
        <v>3996.027</v>
      </c>
      <c r="W143" s="6">
        <f t="shared" si="23"/>
        <v>-3.0000000001564331E-3</v>
      </c>
      <c r="X143">
        <v>2859.51</v>
      </c>
      <c r="Y143">
        <v>1136.52</v>
      </c>
      <c r="Z143">
        <f t="shared" si="24"/>
        <v>1136.5169999999998</v>
      </c>
      <c r="AA143" s="6">
        <f t="shared" si="25"/>
        <v>-3.0000000001564331E-3</v>
      </c>
      <c r="AB143">
        <f t="shared" si="26"/>
        <v>0.28441174196270441</v>
      </c>
      <c r="AC143" t="s">
        <v>32</v>
      </c>
      <c r="AD143" t="s">
        <v>103</v>
      </c>
      <c r="AE143" t="s">
        <v>2827</v>
      </c>
      <c r="AF143" t="s">
        <v>103</v>
      </c>
    </row>
    <row r="144" spans="1:32">
      <c r="A144" t="s">
        <v>535</v>
      </c>
      <c r="B144" s="3">
        <v>45381</v>
      </c>
      <c r="C144" t="str">
        <f t="shared" si="19"/>
        <v>March</v>
      </c>
      <c r="D144">
        <f t="shared" si="20"/>
        <v>2024</v>
      </c>
      <c r="E144" s="3">
        <v>45377</v>
      </c>
      <c r="F144">
        <f t="shared" si="18"/>
        <v>-4</v>
      </c>
      <c r="G144" t="s">
        <v>536</v>
      </c>
      <c r="H144" t="s">
        <v>89</v>
      </c>
      <c r="I144" t="s">
        <v>95</v>
      </c>
      <c r="J144" t="s">
        <v>25</v>
      </c>
      <c r="K144" t="s">
        <v>26</v>
      </c>
      <c r="L144" t="s">
        <v>27</v>
      </c>
      <c r="M144" t="s">
        <v>74</v>
      </c>
      <c r="N144" t="s">
        <v>171</v>
      </c>
      <c r="O144" t="s">
        <v>537</v>
      </c>
      <c r="P144" t="s">
        <v>31</v>
      </c>
      <c r="Q144">
        <v>5</v>
      </c>
      <c r="R144">
        <v>907.54</v>
      </c>
      <c r="S144" s="6">
        <v>0.15</v>
      </c>
      <c r="T144" s="6">
        <f t="shared" si="21"/>
        <v>0.15</v>
      </c>
      <c r="U144">
        <v>3857.04</v>
      </c>
      <c r="V144">
        <f t="shared" si="22"/>
        <v>3857.0449999999996</v>
      </c>
      <c r="W144" s="6">
        <f t="shared" si="23"/>
        <v>4.999999999654392E-3</v>
      </c>
      <c r="X144">
        <v>2769.26</v>
      </c>
      <c r="Y144">
        <v>1087.78</v>
      </c>
      <c r="Z144">
        <f t="shared" si="24"/>
        <v>1087.7849999999994</v>
      </c>
      <c r="AA144" s="6">
        <f t="shared" si="25"/>
        <v>4.9999999994270183E-3</v>
      </c>
      <c r="AB144">
        <f t="shared" si="26"/>
        <v>0.28202548842442843</v>
      </c>
      <c r="AC144" t="s">
        <v>32</v>
      </c>
      <c r="AD144" t="s">
        <v>33</v>
      </c>
      <c r="AE144" t="s">
        <v>2826</v>
      </c>
      <c r="AF144" s="10" t="s">
        <v>2802</v>
      </c>
    </row>
    <row r="145" spans="1:32">
      <c r="A145" t="s">
        <v>538</v>
      </c>
      <c r="B145" s="3">
        <v>45375</v>
      </c>
      <c r="C145" t="str">
        <f t="shared" si="19"/>
        <v>March</v>
      </c>
      <c r="D145">
        <f t="shared" si="20"/>
        <v>2024</v>
      </c>
      <c r="E145" s="3">
        <v>45377</v>
      </c>
      <c r="F145">
        <f t="shared" si="18"/>
        <v>2</v>
      </c>
      <c r="G145" t="s">
        <v>539</v>
      </c>
      <c r="H145" t="s">
        <v>114</v>
      </c>
      <c r="I145" t="s">
        <v>24</v>
      </c>
      <c r="J145" t="s">
        <v>63</v>
      </c>
      <c r="K145" t="s">
        <v>180</v>
      </c>
      <c r="L145" t="s">
        <v>181</v>
      </c>
      <c r="M145" t="s">
        <v>28</v>
      </c>
      <c r="N145" t="s">
        <v>29</v>
      </c>
      <c r="O145" t="s">
        <v>540</v>
      </c>
      <c r="P145" t="s">
        <v>31</v>
      </c>
      <c r="Q145">
        <v>1</v>
      </c>
      <c r="R145">
        <v>3409.5</v>
      </c>
      <c r="S145" s="6">
        <v>0.1</v>
      </c>
      <c r="T145" s="6">
        <f t="shared" si="21"/>
        <v>0.1</v>
      </c>
      <c r="U145">
        <v>3068.55</v>
      </c>
      <c r="V145">
        <f t="shared" si="22"/>
        <v>3068.55</v>
      </c>
      <c r="W145" s="6">
        <f t="shared" si="23"/>
        <v>0</v>
      </c>
      <c r="X145">
        <v>1916.16</v>
      </c>
      <c r="Y145">
        <v>1152.3900000000001</v>
      </c>
      <c r="Z145">
        <f t="shared" si="24"/>
        <v>1152.3900000000001</v>
      </c>
      <c r="AA145" s="6">
        <f t="shared" si="25"/>
        <v>0</v>
      </c>
      <c r="AB145">
        <f t="shared" si="26"/>
        <v>0.3755487119323459</v>
      </c>
      <c r="AC145" t="s">
        <v>32</v>
      </c>
      <c r="AD145" t="s">
        <v>103</v>
      </c>
      <c r="AE145" t="s">
        <v>2827</v>
      </c>
      <c r="AF145" t="s">
        <v>103</v>
      </c>
    </row>
    <row r="146" spans="1:32">
      <c r="A146" t="s">
        <v>541</v>
      </c>
      <c r="B146" s="3">
        <v>45479</v>
      </c>
      <c r="C146" t="str">
        <f t="shared" si="19"/>
        <v>July</v>
      </c>
      <c r="D146">
        <f t="shared" si="20"/>
        <v>2024</v>
      </c>
      <c r="E146" s="3">
        <v>45458</v>
      </c>
      <c r="F146">
        <f t="shared" si="18"/>
        <v>-21</v>
      </c>
      <c r="G146" t="s">
        <v>542</v>
      </c>
      <c r="H146" t="s">
        <v>264</v>
      </c>
      <c r="I146" t="s">
        <v>37</v>
      </c>
      <c r="J146" t="s">
        <v>54</v>
      </c>
      <c r="K146" t="s">
        <v>55</v>
      </c>
      <c r="L146" t="s">
        <v>56</v>
      </c>
      <c r="M146" t="s">
        <v>74</v>
      </c>
      <c r="N146" t="s">
        <v>75</v>
      </c>
      <c r="O146" t="s">
        <v>543</v>
      </c>
      <c r="P146" t="s">
        <v>50</v>
      </c>
      <c r="Q146">
        <v>7</v>
      </c>
      <c r="R146">
        <v>2147.9899999999998</v>
      </c>
      <c r="S146" s="6">
        <v>0.25</v>
      </c>
      <c r="T146" s="6">
        <f t="shared" si="21"/>
        <v>0.25</v>
      </c>
      <c r="U146">
        <v>11276.95</v>
      </c>
      <c r="V146">
        <f t="shared" si="22"/>
        <v>11276.947499999998</v>
      </c>
      <c r="W146" s="6">
        <f t="shared" si="23"/>
        <v>-2.5000000023283064E-3</v>
      </c>
      <c r="X146">
        <v>6908.76</v>
      </c>
      <c r="Y146">
        <v>4368.1899999999996</v>
      </c>
      <c r="Z146">
        <f t="shared" si="24"/>
        <v>4368.1874999999982</v>
      </c>
      <c r="AA146" s="6">
        <f t="shared" si="25"/>
        <v>-2.5000000014188117E-3</v>
      </c>
      <c r="AB146">
        <f t="shared" si="26"/>
        <v>0.38735548782150481</v>
      </c>
      <c r="AC146" t="s">
        <v>102</v>
      </c>
      <c r="AD146" t="s">
        <v>103</v>
      </c>
      <c r="AE146" t="s">
        <v>2826</v>
      </c>
      <c r="AF146" s="10" t="s">
        <v>2812</v>
      </c>
    </row>
    <row r="147" spans="1:32">
      <c r="A147" t="s">
        <v>544</v>
      </c>
      <c r="B147" s="3">
        <v>45965</v>
      </c>
      <c r="C147" t="str">
        <f t="shared" si="19"/>
        <v>November</v>
      </c>
      <c r="D147">
        <f t="shared" si="20"/>
        <v>2025</v>
      </c>
      <c r="E147" s="3">
        <v>45760</v>
      </c>
      <c r="F147">
        <f t="shared" si="18"/>
        <v>-205</v>
      </c>
      <c r="G147" t="s">
        <v>545</v>
      </c>
      <c r="H147" t="s">
        <v>36</v>
      </c>
      <c r="I147" t="s">
        <v>37</v>
      </c>
      <c r="J147" t="s">
        <v>63</v>
      </c>
      <c r="K147" t="s">
        <v>190</v>
      </c>
      <c r="L147" t="s">
        <v>191</v>
      </c>
      <c r="M147" t="s">
        <v>28</v>
      </c>
      <c r="N147" t="s">
        <v>29</v>
      </c>
      <c r="O147" t="s">
        <v>546</v>
      </c>
      <c r="P147" t="s">
        <v>59</v>
      </c>
      <c r="Q147">
        <v>4</v>
      </c>
      <c r="R147">
        <v>4182.1499999999996</v>
      </c>
      <c r="S147" s="6">
        <v>0.1</v>
      </c>
      <c r="T147" s="6">
        <f t="shared" si="21"/>
        <v>0.1</v>
      </c>
      <c r="U147">
        <v>15055.74</v>
      </c>
      <c r="V147">
        <f t="shared" si="22"/>
        <v>15055.74</v>
      </c>
      <c r="W147" s="6">
        <f t="shared" si="23"/>
        <v>0</v>
      </c>
      <c r="X147">
        <v>9808.83</v>
      </c>
      <c r="Y147">
        <v>5246.91</v>
      </c>
      <c r="Z147">
        <f t="shared" si="24"/>
        <v>5246.91</v>
      </c>
      <c r="AA147" s="6">
        <f t="shared" si="25"/>
        <v>0</v>
      </c>
      <c r="AB147">
        <f t="shared" si="26"/>
        <v>0.34849897779850075</v>
      </c>
      <c r="AC147" t="s">
        <v>32</v>
      </c>
      <c r="AD147" t="s">
        <v>33</v>
      </c>
      <c r="AE147" t="s">
        <v>2826</v>
      </c>
      <c r="AF147" s="10" t="s">
        <v>2790</v>
      </c>
    </row>
    <row r="148" spans="1:32">
      <c r="A148" t="s">
        <v>547</v>
      </c>
      <c r="B148" s="3">
        <v>45868</v>
      </c>
      <c r="C148" t="str">
        <f t="shared" si="19"/>
        <v>July</v>
      </c>
      <c r="D148">
        <f t="shared" si="20"/>
        <v>2025</v>
      </c>
      <c r="E148" s="3">
        <v>45870</v>
      </c>
      <c r="F148">
        <f t="shared" si="18"/>
        <v>2</v>
      </c>
      <c r="G148" t="s">
        <v>548</v>
      </c>
      <c r="H148" t="s">
        <v>132</v>
      </c>
      <c r="I148" t="s">
        <v>37</v>
      </c>
      <c r="J148" t="s">
        <v>54</v>
      </c>
      <c r="K148" t="s">
        <v>247</v>
      </c>
      <c r="L148" t="s">
        <v>248</v>
      </c>
      <c r="M148" t="s">
        <v>28</v>
      </c>
      <c r="N148" t="s">
        <v>124</v>
      </c>
      <c r="O148" t="s">
        <v>549</v>
      </c>
      <c r="P148" t="s">
        <v>44</v>
      </c>
      <c r="Q148">
        <v>9</v>
      </c>
      <c r="R148">
        <v>3165.43</v>
      </c>
      <c r="S148" s="6">
        <v>0.1</v>
      </c>
      <c r="T148" s="6">
        <f t="shared" si="21"/>
        <v>0.1</v>
      </c>
      <c r="U148">
        <v>25639.98</v>
      </c>
      <c r="V148">
        <f t="shared" si="22"/>
        <v>25639.983</v>
      </c>
      <c r="W148" s="6">
        <f t="shared" si="23"/>
        <v>3.0000000006111804E-3</v>
      </c>
      <c r="X148">
        <v>21635.08</v>
      </c>
      <c r="Y148">
        <v>4004.9</v>
      </c>
      <c r="Z148">
        <f t="shared" si="24"/>
        <v>4004.9029999999984</v>
      </c>
      <c r="AA148" s="6">
        <f t="shared" si="25"/>
        <v>2.9999999983374437E-3</v>
      </c>
      <c r="AB148">
        <f t="shared" si="26"/>
        <v>0.1561975684617263</v>
      </c>
      <c r="AC148" t="s">
        <v>32</v>
      </c>
      <c r="AD148" t="s">
        <v>33</v>
      </c>
      <c r="AE148" t="s">
        <v>2828</v>
      </c>
    </row>
    <row r="149" spans="1:32">
      <c r="A149" t="s">
        <v>550</v>
      </c>
      <c r="B149" s="3">
        <v>45649</v>
      </c>
      <c r="C149" t="str">
        <f t="shared" si="19"/>
        <v>December</v>
      </c>
      <c r="D149">
        <f t="shared" si="20"/>
        <v>2024</v>
      </c>
      <c r="E149" s="3">
        <v>45656</v>
      </c>
      <c r="F149">
        <f t="shared" si="18"/>
        <v>7</v>
      </c>
      <c r="G149" t="s">
        <v>551</v>
      </c>
      <c r="H149" t="s">
        <v>114</v>
      </c>
      <c r="I149" t="s">
        <v>95</v>
      </c>
      <c r="J149" t="s">
        <v>63</v>
      </c>
      <c r="K149" t="s">
        <v>190</v>
      </c>
      <c r="L149" t="s">
        <v>191</v>
      </c>
      <c r="M149" t="s">
        <v>41</v>
      </c>
      <c r="N149" t="s">
        <v>57</v>
      </c>
      <c r="O149" t="s">
        <v>552</v>
      </c>
      <c r="P149" t="s">
        <v>50</v>
      </c>
      <c r="Q149">
        <v>8</v>
      </c>
      <c r="R149">
        <v>386.1</v>
      </c>
      <c r="S149" s="6">
        <v>0.1</v>
      </c>
      <c r="T149" s="6">
        <f t="shared" si="21"/>
        <v>0.1</v>
      </c>
      <c r="U149">
        <v>2779.92</v>
      </c>
      <c r="V149">
        <f t="shared" si="22"/>
        <v>2779.92</v>
      </c>
      <c r="W149" s="6">
        <f t="shared" si="23"/>
        <v>0</v>
      </c>
      <c r="X149">
        <v>1744.05</v>
      </c>
      <c r="Y149">
        <v>1035.8699999999999</v>
      </c>
      <c r="Z149">
        <f t="shared" si="24"/>
        <v>1035.8700000000001</v>
      </c>
      <c r="AA149" s="6">
        <f t="shared" si="25"/>
        <v>0</v>
      </c>
      <c r="AB149">
        <f t="shared" si="26"/>
        <v>0.37262583095916435</v>
      </c>
      <c r="AC149" t="s">
        <v>32</v>
      </c>
      <c r="AD149" t="s">
        <v>33</v>
      </c>
      <c r="AE149" t="s">
        <v>2828</v>
      </c>
    </row>
    <row r="150" spans="1:32">
      <c r="A150" t="s">
        <v>553</v>
      </c>
      <c r="B150" s="3">
        <v>45902</v>
      </c>
      <c r="C150" t="str">
        <f t="shared" si="19"/>
        <v>September</v>
      </c>
      <c r="D150">
        <f t="shared" si="20"/>
        <v>2025</v>
      </c>
      <c r="E150" s="3">
        <v>45701</v>
      </c>
      <c r="F150">
        <f t="shared" si="18"/>
        <v>-201</v>
      </c>
      <c r="G150" t="s">
        <v>554</v>
      </c>
      <c r="H150" t="s">
        <v>36</v>
      </c>
      <c r="I150" t="s">
        <v>95</v>
      </c>
      <c r="J150" t="s">
        <v>63</v>
      </c>
      <c r="K150" t="s">
        <v>72</v>
      </c>
      <c r="L150" t="s">
        <v>73</v>
      </c>
      <c r="M150" t="s">
        <v>74</v>
      </c>
      <c r="N150" t="s">
        <v>171</v>
      </c>
      <c r="O150" t="s">
        <v>555</v>
      </c>
      <c r="P150" t="s">
        <v>2781</v>
      </c>
      <c r="Q150">
        <v>8</v>
      </c>
      <c r="R150">
        <v>1696.07</v>
      </c>
      <c r="S150" s="6">
        <v>0.25</v>
      </c>
      <c r="T150" s="6">
        <f t="shared" si="21"/>
        <v>0.25</v>
      </c>
      <c r="U150">
        <v>10176.42</v>
      </c>
      <c r="V150">
        <f t="shared" si="22"/>
        <v>10176.42</v>
      </c>
      <c r="W150" s="6">
        <f t="shared" si="23"/>
        <v>0</v>
      </c>
      <c r="X150">
        <v>7604.47</v>
      </c>
      <c r="Y150">
        <v>2571.9499999999998</v>
      </c>
      <c r="Z150">
        <f t="shared" si="24"/>
        <v>2571.9499999999998</v>
      </c>
      <c r="AA150" s="6">
        <f t="shared" si="25"/>
        <v>0</v>
      </c>
      <c r="AB150">
        <f t="shared" si="26"/>
        <v>0.252736227474888</v>
      </c>
      <c r="AC150" t="s">
        <v>32</v>
      </c>
      <c r="AD150" t="s">
        <v>33</v>
      </c>
      <c r="AE150" t="s">
        <v>2826</v>
      </c>
      <c r="AF150" s="10" t="s">
        <v>2832</v>
      </c>
    </row>
    <row r="151" spans="1:32">
      <c r="A151" t="s">
        <v>556</v>
      </c>
      <c r="B151" s="3">
        <v>45321</v>
      </c>
      <c r="C151" t="str">
        <f t="shared" si="19"/>
        <v>January</v>
      </c>
      <c r="D151">
        <f t="shared" si="20"/>
        <v>2024</v>
      </c>
      <c r="E151" s="3">
        <v>45321</v>
      </c>
      <c r="F151">
        <f t="shared" si="18"/>
        <v>0</v>
      </c>
      <c r="G151" t="s">
        <v>557</v>
      </c>
      <c r="H151" t="s">
        <v>128</v>
      </c>
      <c r="I151" t="s">
        <v>37</v>
      </c>
      <c r="J151" t="s">
        <v>63</v>
      </c>
      <c r="K151" t="s">
        <v>26</v>
      </c>
      <c r="L151" t="s">
        <v>109</v>
      </c>
      <c r="M151" t="s">
        <v>74</v>
      </c>
      <c r="N151" t="s">
        <v>80</v>
      </c>
      <c r="O151" t="s">
        <v>558</v>
      </c>
      <c r="P151" t="s">
        <v>44</v>
      </c>
      <c r="Q151">
        <v>7</v>
      </c>
      <c r="R151">
        <v>2527.61</v>
      </c>
      <c r="S151" s="6">
        <v>0.25</v>
      </c>
      <c r="T151" s="6">
        <f t="shared" si="21"/>
        <v>0.25</v>
      </c>
      <c r="U151">
        <v>13269.95</v>
      </c>
      <c r="V151">
        <f t="shared" si="22"/>
        <v>13269.952499999999</v>
      </c>
      <c r="W151" s="6">
        <f t="shared" si="23"/>
        <v>2.4999999986903276E-3</v>
      </c>
      <c r="X151">
        <v>8977.1</v>
      </c>
      <c r="Y151">
        <v>4292.8500000000004</v>
      </c>
      <c r="Z151">
        <f t="shared" si="24"/>
        <v>4292.8524999999991</v>
      </c>
      <c r="AA151" s="6">
        <f t="shared" si="25"/>
        <v>2.4999999986903276E-3</v>
      </c>
      <c r="AB151">
        <f t="shared" si="26"/>
        <v>0.32350172315989822</v>
      </c>
      <c r="AC151" t="s">
        <v>32</v>
      </c>
      <c r="AD151" t="s">
        <v>33</v>
      </c>
      <c r="AE151" t="s">
        <v>2828</v>
      </c>
    </row>
    <row r="152" spans="1:32">
      <c r="A152" t="s">
        <v>559</v>
      </c>
      <c r="B152" s="3">
        <v>45385</v>
      </c>
      <c r="C152" t="str">
        <f t="shared" si="19"/>
        <v>April</v>
      </c>
      <c r="D152">
        <f t="shared" si="20"/>
        <v>2024</v>
      </c>
      <c r="E152" s="3">
        <v>45629</v>
      </c>
      <c r="F152">
        <f t="shared" si="18"/>
        <v>244</v>
      </c>
      <c r="G152" t="s">
        <v>560</v>
      </c>
      <c r="H152" t="s">
        <v>53</v>
      </c>
      <c r="I152" t="s">
        <v>24</v>
      </c>
      <c r="J152" t="s">
        <v>2781</v>
      </c>
      <c r="K152" t="s">
        <v>180</v>
      </c>
      <c r="L152" t="s">
        <v>181</v>
      </c>
      <c r="M152" t="s">
        <v>41</v>
      </c>
      <c r="N152" t="s">
        <v>158</v>
      </c>
      <c r="O152" t="s">
        <v>561</v>
      </c>
      <c r="P152" t="s">
        <v>50</v>
      </c>
      <c r="Q152">
        <v>1</v>
      </c>
      <c r="R152">
        <v>1554.12</v>
      </c>
      <c r="S152" s="6">
        <v>0.1</v>
      </c>
      <c r="T152" s="6">
        <f t="shared" si="21"/>
        <v>0.1</v>
      </c>
      <c r="U152">
        <v>1398.71</v>
      </c>
      <c r="V152">
        <f t="shared" si="22"/>
        <v>1398.7079999999999</v>
      </c>
      <c r="W152" s="6">
        <f t="shared" si="23"/>
        <v>-2.00000000018008E-3</v>
      </c>
      <c r="X152">
        <v>1056.92</v>
      </c>
      <c r="Y152">
        <v>341.79</v>
      </c>
      <c r="Z152">
        <f t="shared" si="24"/>
        <v>341.78799999999978</v>
      </c>
      <c r="AA152" s="6">
        <f t="shared" si="25"/>
        <v>-2.0000000002369234E-3</v>
      </c>
      <c r="AB152">
        <f t="shared" si="26"/>
        <v>0.24435979489643286</v>
      </c>
      <c r="AC152" t="s">
        <v>32</v>
      </c>
      <c r="AD152" t="s">
        <v>33</v>
      </c>
      <c r="AE152" t="s">
        <v>2828</v>
      </c>
    </row>
    <row r="153" spans="1:32">
      <c r="A153" t="s">
        <v>562</v>
      </c>
      <c r="B153" s="3">
        <v>45470</v>
      </c>
      <c r="C153" t="str">
        <f t="shared" si="19"/>
        <v>June</v>
      </c>
      <c r="D153">
        <f t="shared" si="20"/>
        <v>2024</v>
      </c>
      <c r="E153" s="3">
        <v>45470</v>
      </c>
      <c r="F153">
        <f t="shared" si="18"/>
        <v>0</v>
      </c>
      <c r="G153" t="s">
        <v>563</v>
      </c>
      <c r="H153" t="s">
        <v>79</v>
      </c>
      <c r="I153" t="s">
        <v>95</v>
      </c>
      <c r="J153" t="s">
        <v>2781</v>
      </c>
      <c r="K153" t="s">
        <v>72</v>
      </c>
      <c r="L153" t="s">
        <v>73</v>
      </c>
      <c r="M153" t="s">
        <v>74</v>
      </c>
      <c r="N153" t="s">
        <v>80</v>
      </c>
      <c r="O153" t="s">
        <v>564</v>
      </c>
      <c r="P153" t="s">
        <v>59</v>
      </c>
      <c r="Q153">
        <v>2</v>
      </c>
      <c r="R153">
        <v>3859.11</v>
      </c>
      <c r="S153" s="6">
        <v>0</v>
      </c>
      <c r="T153" s="6">
        <f t="shared" si="21"/>
        <v>0</v>
      </c>
      <c r="U153">
        <v>7718.22</v>
      </c>
      <c r="V153">
        <f t="shared" si="22"/>
        <v>7718.22</v>
      </c>
      <c r="W153" s="6">
        <f t="shared" si="23"/>
        <v>0</v>
      </c>
      <c r="X153">
        <v>5355.93</v>
      </c>
      <c r="Y153">
        <v>2362.29</v>
      </c>
      <c r="Z153">
        <f t="shared" si="24"/>
        <v>2362.29</v>
      </c>
      <c r="AA153" s="6">
        <f t="shared" si="25"/>
        <v>0</v>
      </c>
      <c r="AB153">
        <f t="shared" si="26"/>
        <v>0.30606668376905555</v>
      </c>
      <c r="AC153" t="s">
        <v>111</v>
      </c>
      <c r="AD153" t="s">
        <v>103</v>
      </c>
      <c r="AE153" t="s">
        <v>2827</v>
      </c>
      <c r="AF153" t="s">
        <v>2814</v>
      </c>
    </row>
    <row r="154" spans="1:32">
      <c r="A154" t="s">
        <v>565</v>
      </c>
      <c r="B154" s="3">
        <v>45457</v>
      </c>
      <c r="C154" t="str">
        <f t="shared" si="19"/>
        <v>June</v>
      </c>
      <c r="D154">
        <f t="shared" si="20"/>
        <v>2024</v>
      </c>
      <c r="E154" s="3">
        <v>45460</v>
      </c>
      <c r="F154">
        <f t="shared" si="18"/>
        <v>3</v>
      </c>
      <c r="G154" t="s">
        <v>566</v>
      </c>
      <c r="H154" t="s">
        <v>264</v>
      </c>
      <c r="I154" t="s">
        <v>37</v>
      </c>
      <c r="J154" t="s">
        <v>54</v>
      </c>
      <c r="K154" t="s">
        <v>185</v>
      </c>
      <c r="L154" t="s">
        <v>186</v>
      </c>
      <c r="M154" t="s">
        <v>41</v>
      </c>
      <c r="N154" t="s">
        <v>42</v>
      </c>
      <c r="O154" t="s">
        <v>567</v>
      </c>
      <c r="P154" t="s">
        <v>31</v>
      </c>
      <c r="Q154">
        <v>6</v>
      </c>
      <c r="R154">
        <v>1088.04</v>
      </c>
      <c r="S154" s="6">
        <v>0.1</v>
      </c>
      <c r="T154" s="6">
        <f t="shared" si="21"/>
        <v>0.1</v>
      </c>
      <c r="U154">
        <v>5875.42</v>
      </c>
      <c r="V154">
        <f t="shared" si="22"/>
        <v>5875.4160000000002</v>
      </c>
      <c r="W154" s="6">
        <f t="shared" si="23"/>
        <v>-3.9999999999054126E-3</v>
      </c>
      <c r="X154">
        <v>4380.55</v>
      </c>
      <c r="Y154">
        <v>1494.87</v>
      </c>
      <c r="Z154">
        <f t="shared" si="24"/>
        <v>1494.866</v>
      </c>
      <c r="AA154" s="6">
        <f t="shared" si="25"/>
        <v>-3.9999999999054126E-3</v>
      </c>
      <c r="AB154">
        <f t="shared" si="26"/>
        <v>0.25442726098032886</v>
      </c>
      <c r="AC154" t="s">
        <v>111</v>
      </c>
      <c r="AD154" t="s">
        <v>103</v>
      </c>
      <c r="AE154" t="s">
        <v>2827</v>
      </c>
      <c r="AF154" t="s">
        <v>2814</v>
      </c>
    </row>
    <row r="155" spans="1:32">
      <c r="A155" t="s">
        <v>568</v>
      </c>
      <c r="B155" s="3">
        <v>45923</v>
      </c>
      <c r="C155" t="str">
        <f t="shared" si="19"/>
        <v>September</v>
      </c>
      <c r="D155">
        <f t="shared" si="20"/>
        <v>2025</v>
      </c>
      <c r="E155" s="3">
        <v>45925</v>
      </c>
      <c r="F155">
        <f t="shared" si="18"/>
        <v>2</v>
      </c>
      <c r="G155" t="s">
        <v>569</v>
      </c>
      <c r="H155" t="s">
        <v>89</v>
      </c>
      <c r="I155" t="s">
        <v>24</v>
      </c>
      <c r="J155" t="s">
        <v>38</v>
      </c>
      <c r="K155" t="s">
        <v>39</v>
      </c>
      <c r="L155" t="s">
        <v>40</v>
      </c>
      <c r="M155" t="s">
        <v>28</v>
      </c>
      <c r="N155" t="s">
        <v>91</v>
      </c>
      <c r="O155" t="s">
        <v>570</v>
      </c>
      <c r="P155" t="s">
        <v>59</v>
      </c>
      <c r="Q155">
        <v>7</v>
      </c>
      <c r="R155">
        <v>3280.31</v>
      </c>
      <c r="S155" s="6">
        <v>0</v>
      </c>
      <c r="T155" s="6">
        <f t="shared" si="21"/>
        <v>0</v>
      </c>
      <c r="U155">
        <v>22962.17</v>
      </c>
      <c r="V155">
        <f t="shared" si="22"/>
        <v>22962.17</v>
      </c>
      <c r="W155" s="6">
        <f t="shared" si="23"/>
        <v>0</v>
      </c>
      <c r="X155">
        <v>15716.5</v>
      </c>
      <c r="Y155">
        <v>7245.67</v>
      </c>
      <c r="Z155">
        <f t="shared" si="24"/>
        <v>7245.6699999999983</v>
      </c>
      <c r="AA155" s="6">
        <f t="shared" si="25"/>
        <v>0</v>
      </c>
      <c r="AB155">
        <f t="shared" si="26"/>
        <v>0.31554813852523517</v>
      </c>
      <c r="AC155" t="s">
        <v>102</v>
      </c>
      <c r="AD155" t="s">
        <v>103</v>
      </c>
      <c r="AE155" t="s">
        <v>2827</v>
      </c>
      <c r="AF155" t="s">
        <v>2807</v>
      </c>
    </row>
    <row r="156" spans="1:32">
      <c r="A156" t="s">
        <v>571</v>
      </c>
      <c r="B156" s="3">
        <v>45628</v>
      </c>
      <c r="C156" t="str">
        <f t="shared" si="19"/>
        <v>December</v>
      </c>
      <c r="D156">
        <f t="shared" si="20"/>
        <v>2024</v>
      </c>
      <c r="E156" s="3">
        <v>45333</v>
      </c>
      <c r="F156">
        <f t="shared" si="18"/>
        <v>-295</v>
      </c>
      <c r="G156" t="s">
        <v>455</v>
      </c>
      <c r="H156" t="s">
        <v>114</v>
      </c>
      <c r="I156" t="s">
        <v>24</v>
      </c>
      <c r="J156" t="s">
        <v>54</v>
      </c>
      <c r="K156" t="s">
        <v>247</v>
      </c>
      <c r="L156" t="s">
        <v>248</v>
      </c>
      <c r="M156" t="s">
        <v>41</v>
      </c>
      <c r="N156" t="s">
        <v>158</v>
      </c>
      <c r="O156" t="s">
        <v>572</v>
      </c>
      <c r="P156" t="s">
        <v>44</v>
      </c>
      <c r="Q156">
        <v>1</v>
      </c>
      <c r="R156">
        <v>2599.12</v>
      </c>
      <c r="S156" s="6">
        <v>0.15</v>
      </c>
      <c r="T156" s="6">
        <f t="shared" si="21"/>
        <v>0.15</v>
      </c>
      <c r="U156">
        <v>2209.25</v>
      </c>
      <c r="V156">
        <f t="shared" si="22"/>
        <v>2209.252</v>
      </c>
      <c r="W156" s="6">
        <f t="shared" si="23"/>
        <v>1.9999999999527063E-3</v>
      </c>
      <c r="X156">
        <v>1523.78</v>
      </c>
      <c r="Y156">
        <v>685.47</v>
      </c>
      <c r="Z156">
        <f t="shared" si="24"/>
        <v>685.47199999999998</v>
      </c>
      <c r="AA156" s="6">
        <f t="shared" si="25"/>
        <v>1.9999999999527063E-3</v>
      </c>
      <c r="AB156">
        <f t="shared" si="26"/>
        <v>0.31027334138432372</v>
      </c>
      <c r="AC156" t="s">
        <v>32</v>
      </c>
      <c r="AD156" t="s">
        <v>33</v>
      </c>
      <c r="AE156" t="s">
        <v>2826</v>
      </c>
      <c r="AF156" s="10" t="s">
        <v>2790</v>
      </c>
    </row>
    <row r="157" spans="1:32">
      <c r="A157" t="s">
        <v>573</v>
      </c>
      <c r="B157" s="3">
        <v>45683</v>
      </c>
      <c r="C157" t="str">
        <f t="shared" si="19"/>
        <v>January</v>
      </c>
      <c r="D157">
        <f t="shared" si="20"/>
        <v>2025</v>
      </c>
      <c r="E157" s="3">
        <v>45718</v>
      </c>
      <c r="F157">
        <f t="shared" si="18"/>
        <v>35</v>
      </c>
      <c r="G157" t="s">
        <v>574</v>
      </c>
      <c r="H157" t="s">
        <v>23</v>
      </c>
      <c r="I157" t="s">
        <v>90</v>
      </c>
      <c r="J157" t="s">
        <v>63</v>
      </c>
      <c r="K157" t="s">
        <v>26</v>
      </c>
      <c r="L157" t="s">
        <v>109</v>
      </c>
      <c r="M157" t="s">
        <v>41</v>
      </c>
      <c r="N157" t="s">
        <v>57</v>
      </c>
      <c r="O157" t="s">
        <v>575</v>
      </c>
      <c r="P157" t="s">
        <v>44</v>
      </c>
      <c r="Q157">
        <v>3</v>
      </c>
      <c r="R157">
        <v>2859.32</v>
      </c>
      <c r="S157" s="6">
        <v>0.1</v>
      </c>
      <c r="T157" s="6">
        <f t="shared" si="21"/>
        <v>0.1</v>
      </c>
      <c r="U157">
        <v>7720.16</v>
      </c>
      <c r="V157">
        <f t="shared" si="22"/>
        <v>7720.1640000000007</v>
      </c>
      <c r="W157" s="6">
        <f t="shared" si="23"/>
        <v>4.0000000008149073E-3</v>
      </c>
      <c r="X157">
        <v>5881</v>
      </c>
      <c r="Y157">
        <v>1839.16</v>
      </c>
      <c r="Z157">
        <f t="shared" si="24"/>
        <v>1839.1640000000007</v>
      </c>
      <c r="AA157" s="6">
        <f t="shared" si="25"/>
        <v>4.0000000005875336E-3</v>
      </c>
      <c r="AB157">
        <f t="shared" si="26"/>
        <v>0.23822861794127695</v>
      </c>
      <c r="AC157" t="s">
        <v>102</v>
      </c>
      <c r="AD157" t="s">
        <v>103</v>
      </c>
      <c r="AE157" t="s">
        <v>2827</v>
      </c>
      <c r="AF157" t="s">
        <v>2807</v>
      </c>
    </row>
    <row r="158" spans="1:32">
      <c r="A158" t="s">
        <v>576</v>
      </c>
      <c r="B158" s="3">
        <v>45743</v>
      </c>
      <c r="C158" t="str">
        <f t="shared" si="19"/>
        <v>March</v>
      </c>
      <c r="D158">
        <f t="shared" si="20"/>
        <v>2025</v>
      </c>
      <c r="E158" s="3">
        <v>45743</v>
      </c>
      <c r="F158">
        <f t="shared" si="18"/>
        <v>0</v>
      </c>
      <c r="G158" t="s">
        <v>577</v>
      </c>
      <c r="H158" t="s">
        <v>71</v>
      </c>
      <c r="I158" t="s">
        <v>37</v>
      </c>
      <c r="J158" t="s">
        <v>38</v>
      </c>
      <c r="K158" t="s">
        <v>145</v>
      </c>
      <c r="L158" t="s">
        <v>146</v>
      </c>
      <c r="M158" t="s">
        <v>74</v>
      </c>
      <c r="N158" t="s">
        <v>274</v>
      </c>
      <c r="O158" t="s">
        <v>578</v>
      </c>
      <c r="P158" t="s">
        <v>31</v>
      </c>
      <c r="Q158">
        <v>7</v>
      </c>
      <c r="R158">
        <v>2305.37</v>
      </c>
      <c r="S158" s="6">
        <v>0.25</v>
      </c>
      <c r="T158" s="6">
        <f t="shared" si="21"/>
        <v>0.25</v>
      </c>
      <c r="U158">
        <v>12103.19</v>
      </c>
      <c r="V158">
        <f t="shared" si="22"/>
        <v>12103.192500000001</v>
      </c>
      <c r="W158" s="6">
        <f t="shared" si="23"/>
        <v>2.500000000509317E-3</v>
      </c>
      <c r="X158">
        <v>6717.87</v>
      </c>
      <c r="Y158">
        <v>5385.32</v>
      </c>
      <c r="Z158">
        <f t="shared" si="24"/>
        <v>5385.3225000000011</v>
      </c>
      <c r="AA158" s="6">
        <f t="shared" si="25"/>
        <v>2.5000000014188117E-3</v>
      </c>
      <c r="AB158">
        <f t="shared" si="26"/>
        <v>0.44495057812225997</v>
      </c>
      <c r="AC158" t="s">
        <v>32</v>
      </c>
      <c r="AD158" t="s">
        <v>33</v>
      </c>
      <c r="AE158" t="s">
        <v>2828</v>
      </c>
    </row>
    <row r="159" spans="1:32">
      <c r="A159" t="s">
        <v>579</v>
      </c>
      <c r="B159" s="3">
        <v>45587</v>
      </c>
      <c r="C159" t="str">
        <f t="shared" si="19"/>
        <v>October</v>
      </c>
      <c r="D159">
        <f t="shared" si="20"/>
        <v>2024</v>
      </c>
      <c r="E159" s="3">
        <v>45589</v>
      </c>
      <c r="F159">
        <f t="shared" si="18"/>
        <v>2</v>
      </c>
      <c r="G159" t="s">
        <v>580</v>
      </c>
      <c r="H159" t="s">
        <v>141</v>
      </c>
      <c r="I159" t="s">
        <v>37</v>
      </c>
      <c r="J159" t="s">
        <v>54</v>
      </c>
      <c r="K159" t="s">
        <v>84</v>
      </c>
      <c r="L159" t="s">
        <v>85</v>
      </c>
      <c r="M159" t="s">
        <v>41</v>
      </c>
      <c r="N159" t="s">
        <v>158</v>
      </c>
      <c r="O159" t="s">
        <v>581</v>
      </c>
      <c r="P159" t="s">
        <v>59</v>
      </c>
      <c r="Q159">
        <v>3</v>
      </c>
      <c r="R159">
        <v>915.84</v>
      </c>
      <c r="S159" s="6">
        <v>0.15</v>
      </c>
      <c r="T159" s="6">
        <f t="shared" si="21"/>
        <v>0.15</v>
      </c>
      <c r="U159">
        <v>2335.39</v>
      </c>
      <c r="V159">
        <f t="shared" si="22"/>
        <v>2335.3919999999998</v>
      </c>
      <c r="W159" s="6">
        <f t="shared" si="23"/>
        <v>1.9999999999527063E-3</v>
      </c>
      <c r="X159">
        <v>1466.15</v>
      </c>
      <c r="Y159">
        <v>869.24</v>
      </c>
      <c r="Z159">
        <f t="shared" si="24"/>
        <v>869.24199999999973</v>
      </c>
      <c r="AA159" s="6">
        <f t="shared" si="25"/>
        <v>1.9999999997253326E-3</v>
      </c>
      <c r="AB159">
        <f t="shared" si="26"/>
        <v>0.3722038955344541</v>
      </c>
      <c r="AC159" t="s">
        <v>32</v>
      </c>
      <c r="AD159" t="s">
        <v>33</v>
      </c>
      <c r="AE159" t="s">
        <v>2828</v>
      </c>
    </row>
    <row r="160" spans="1:32">
      <c r="A160" t="s">
        <v>582</v>
      </c>
      <c r="B160" s="3">
        <v>45544</v>
      </c>
      <c r="C160" t="str">
        <f t="shared" si="19"/>
        <v>September</v>
      </c>
      <c r="D160">
        <f t="shared" si="20"/>
        <v>2024</v>
      </c>
      <c r="E160" s="3">
        <v>45546</v>
      </c>
      <c r="F160">
        <f t="shared" si="18"/>
        <v>2</v>
      </c>
      <c r="G160" t="s">
        <v>583</v>
      </c>
      <c r="H160" t="s">
        <v>79</v>
      </c>
      <c r="I160" t="s">
        <v>95</v>
      </c>
      <c r="J160" t="s">
        <v>54</v>
      </c>
      <c r="K160" t="s">
        <v>55</v>
      </c>
      <c r="L160" t="s">
        <v>56</v>
      </c>
      <c r="M160" t="s">
        <v>41</v>
      </c>
      <c r="N160" t="s">
        <v>158</v>
      </c>
      <c r="O160" t="s">
        <v>584</v>
      </c>
      <c r="P160" t="s">
        <v>50</v>
      </c>
      <c r="Q160">
        <v>1</v>
      </c>
      <c r="R160">
        <v>4199.54</v>
      </c>
      <c r="S160" s="6">
        <v>0.05</v>
      </c>
      <c r="T160" s="6">
        <f t="shared" si="21"/>
        <v>0.05</v>
      </c>
      <c r="U160">
        <v>3989.56</v>
      </c>
      <c r="V160">
        <f t="shared" si="22"/>
        <v>3989.5629999999996</v>
      </c>
      <c r="W160" s="6">
        <f t="shared" si="23"/>
        <v>2.9999999997016857E-3</v>
      </c>
      <c r="X160">
        <v>2381.38</v>
      </c>
      <c r="Y160">
        <v>1608.18</v>
      </c>
      <c r="Z160">
        <f t="shared" si="24"/>
        <v>1608.1829999999995</v>
      </c>
      <c r="AA160" s="6">
        <f t="shared" si="25"/>
        <v>2.9999999994743121E-3</v>
      </c>
      <c r="AB160">
        <f t="shared" si="26"/>
        <v>0.40309753223598666</v>
      </c>
      <c r="AC160" t="s">
        <v>32</v>
      </c>
      <c r="AD160" t="s">
        <v>33</v>
      </c>
      <c r="AE160" t="s">
        <v>2828</v>
      </c>
    </row>
    <row r="161" spans="1:32">
      <c r="A161" t="s">
        <v>585</v>
      </c>
      <c r="B161" s="3">
        <v>45687</v>
      </c>
      <c r="C161" t="str">
        <f t="shared" si="19"/>
        <v>January</v>
      </c>
      <c r="D161">
        <f t="shared" si="20"/>
        <v>2025</v>
      </c>
      <c r="E161" s="3">
        <v>45749</v>
      </c>
      <c r="F161">
        <f t="shared" si="18"/>
        <v>62</v>
      </c>
      <c r="G161" t="s">
        <v>586</v>
      </c>
      <c r="H161" t="s">
        <v>114</v>
      </c>
      <c r="I161" t="s">
        <v>90</v>
      </c>
      <c r="J161" t="s">
        <v>25</v>
      </c>
      <c r="K161" t="s">
        <v>236</v>
      </c>
      <c r="L161" t="s">
        <v>237</v>
      </c>
      <c r="M161" t="s">
        <v>41</v>
      </c>
      <c r="N161" t="s">
        <v>66</v>
      </c>
      <c r="O161" t="s">
        <v>587</v>
      </c>
      <c r="P161" t="s">
        <v>44</v>
      </c>
      <c r="Q161">
        <v>9</v>
      </c>
      <c r="R161">
        <v>4430.5</v>
      </c>
      <c r="S161" s="6">
        <v>0.15</v>
      </c>
      <c r="T161" s="6">
        <f t="shared" si="21"/>
        <v>0.15</v>
      </c>
      <c r="U161">
        <v>33893.32</v>
      </c>
      <c r="V161">
        <f t="shared" si="22"/>
        <v>33893.324999999997</v>
      </c>
      <c r="W161" s="6">
        <f t="shared" si="23"/>
        <v>4.9999999973806553E-3</v>
      </c>
      <c r="X161">
        <v>25750.35</v>
      </c>
      <c r="Y161">
        <v>8142.97</v>
      </c>
      <c r="Z161">
        <f t="shared" si="24"/>
        <v>8142.9749999999985</v>
      </c>
      <c r="AA161" s="6">
        <f t="shared" si="25"/>
        <v>4.99999999829015E-3</v>
      </c>
      <c r="AB161">
        <f t="shared" si="26"/>
        <v>0.24025305867748292</v>
      </c>
      <c r="AC161" t="s">
        <v>111</v>
      </c>
      <c r="AD161" t="s">
        <v>68</v>
      </c>
      <c r="AE161" t="s">
        <v>2827</v>
      </c>
      <c r="AF161" t="s">
        <v>2804</v>
      </c>
    </row>
    <row r="162" spans="1:32">
      <c r="A162" t="s">
        <v>588</v>
      </c>
      <c r="B162" s="3">
        <v>45879</v>
      </c>
      <c r="C162" t="str">
        <f t="shared" si="19"/>
        <v>August</v>
      </c>
      <c r="D162">
        <f t="shared" si="20"/>
        <v>2025</v>
      </c>
      <c r="E162" s="3">
        <v>45936</v>
      </c>
      <c r="F162">
        <f t="shared" si="18"/>
        <v>57</v>
      </c>
      <c r="G162" t="s">
        <v>589</v>
      </c>
      <c r="H162" t="s">
        <v>71</v>
      </c>
      <c r="I162" t="s">
        <v>37</v>
      </c>
      <c r="J162" t="s">
        <v>63</v>
      </c>
      <c r="K162" t="s">
        <v>64</v>
      </c>
      <c r="L162" t="s">
        <v>65</v>
      </c>
      <c r="M162" t="s">
        <v>28</v>
      </c>
      <c r="N162" t="s">
        <v>29</v>
      </c>
      <c r="O162" t="s">
        <v>590</v>
      </c>
      <c r="P162" t="s">
        <v>31</v>
      </c>
      <c r="Q162">
        <v>4</v>
      </c>
      <c r="R162">
        <v>1260.42</v>
      </c>
      <c r="S162" s="6">
        <v>0.05</v>
      </c>
      <c r="T162" s="6">
        <f t="shared" si="21"/>
        <v>0.05</v>
      </c>
      <c r="U162">
        <v>4789.6000000000004</v>
      </c>
      <c r="V162">
        <f t="shared" si="22"/>
        <v>4789.5960000000005</v>
      </c>
      <c r="W162" s="6">
        <f t="shared" si="23"/>
        <v>-3.9999999999054126E-3</v>
      </c>
      <c r="X162">
        <v>4037.64</v>
      </c>
      <c r="Y162">
        <v>751.96</v>
      </c>
      <c r="Z162">
        <f t="shared" si="24"/>
        <v>751.95600000000059</v>
      </c>
      <c r="AA162" s="6">
        <f t="shared" si="25"/>
        <v>-3.9999999994506652E-3</v>
      </c>
      <c r="AB162">
        <f t="shared" si="26"/>
        <v>0.1569977927157114</v>
      </c>
      <c r="AC162" t="s">
        <v>111</v>
      </c>
      <c r="AD162" t="s">
        <v>68</v>
      </c>
      <c r="AE162" t="s">
        <v>2827</v>
      </c>
      <c r="AF162" t="s">
        <v>2804</v>
      </c>
    </row>
    <row r="163" spans="1:32">
      <c r="A163" t="s">
        <v>591</v>
      </c>
      <c r="B163" s="3">
        <v>45862</v>
      </c>
      <c r="C163" t="str">
        <f t="shared" si="19"/>
        <v>July</v>
      </c>
      <c r="D163">
        <f t="shared" si="20"/>
        <v>2025</v>
      </c>
      <c r="E163" s="3">
        <v>45868</v>
      </c>
      <c r="F163">
        <f t="shared" si="18"/>
        <v>6</v>
      </c>
      <c r="G163" t="s">
        <v>592</v>
      </c>
      <c r="H163" t="s">
        <v>53</v>
      </c>
      <c r="I163" t="s">
        <v>24</v>
      </c>
      <c r="J163" t="s">
        <v>63</v>
      </c>
      <c r="K163" t="s">
        <v>26</v>
      </c>
      <c r="L163" t="s">
        <v>109</v>
      </c>
      <c r="M163" t="s">
        <v>28</v>
      </c>
      <c r="N163" t="s">
        <v>153</v>
      </c>
      <c r="O163" t="s">
        <v>593</v>
      </c>
      <c r="P163" t="s">
        <v>59</v>
      </c>
      <c r="Q163">
        <v>1</v>
      </c>
      <c r="R163">
        <v>1643.41</v>
      </c>
      <c r="S163" s="6">
        <v>0</v>
      </c>
      <c r="T163" s="6">
        <f t="shared" si="21"/>
        <v>0</v>
      </c>
      <c r="U163">
        <v>1643.41</v>
      </c>
      <c r="V163">
        <f t="shared" si="22"/>
        <v>1643.41</v>
      </c>
      <c r="W163" s="6">
        <f t="shared" si="23"/>
        <v>0</v>
      </c>
      <c r="X163">
        <v>907.4</v>
      </c>
      <c r="Y163">
        <v>736.01</v>
      </c>
      <c r="Z163">
        <f t="shared" si="24"/>
        <v>736.0100000000001</v>
      </c>
      <c r="AA163" s="6">
        <f t="shared" si="25"/>
        <v>0</v>
      </c>
      <c r="AB163">
        <f t="shared" si="26"/>
        <v>0.44785537388722235</v>
      </c>
      <c r="AC163" t="s">
        <v>111</v>
      </c>
      <c r="AD163" t="s">
        <v>68</v>
      </c>
      <c r="AE163" t="s">
        <v>2827</v>
      </c>
      <c r="AF163" t="s">
        <v>2804</v>
      </c>
    </row>
    <row r="164" spans="1:32">
      <c r="A164" t="s">
        <v>594</v>
      </c>
      <c r="B164" s="3">
        <v>45538</v>
      </c>
      <c r="C164" t="str">
        <f t="shared" si="19"/>
        <v>September</v>
      </c>
      <c r="D164">
        <f t="shared" si="20"/>
        <v>2024</v>
      </c>
      <c r="E164" s="3">
        <v>45365</v>
      </c>
      <c r="F164">
        <f t="shared" si="18"/>
        <v>-173</v>
      </c>
      <c r="G164" t="s">
        <v>595</v>
      </c>
      <c r="H164" t="s">
        <v>79</v>
      </c>
      <c r="I164" t="s">
        <v>37</v>
      </c>
      <c r="J164" t="s">
        <v>63</v>
      </c>
      <c r="K164" t="s">
        <v>190</v>
      </c>
      <c r="L164" t="s">
        <v>191</v>
      </c>
      <c r="M164" t="s">
        <v>41</v>
      </c>
      <c r="N164" t="s">
        <v>57</v>
      </c>
      <c r="O164" t="s">
        <v>596</v>
      </c>
      <c r="P164" t="s">
        <v>31</v>
      </c>
      <c r="Q164">
        <v>8</v>
      </c>
      <c r="R164">
        <v>4472.84</v>
      </c>
      <c r="S164" s="6">
        <v>0</v>
      </c>
      <c r="T164" s="6">
        <f t="shared" si="21"/>
        <v>0</v>
      </c>
      <c r="U164">
        <v>35997.620000000003</v>
      </c>
      <c r="V164">
        <f t="shared" si="22"/>
        <v>35782.720000000001</v>
      </c>
      <c r="W164" s="6">
        <f t="shared" si="23"/>
        <v>-214.90000000000146</v>
      </c>
      <c r="X164">
        <v>26424.41</v>
      </c>
      <c r="Y164">
        <v>9358.31</v>
      </c>
      <c r="Z164">
        <f t="shared" si="24"/>
        <v>9358.3100000000013</v>
      </c>
      <c r="AA164" s="6">
        <f t="shared" si="25"/>
        <v>0</v>
      </c>
      <c r="AB164">
        <f t="shared" si="26"/>
        <v>0.2615315437171909</v>
      </c>
      <c r="AC164" t="s">
        <v>111</v>
      </c>
      <c r="AD164" t="s">
        <v>103</v>
      </c>
      <c r="AE164" t="s">
        <v>2826</v>
      </c>
      <c r="AF164" s="10" t="s">
        <v>2815</v>
      </c>
    </row>
    <row r="165" spans="1:32">
      <c r="A165" t="s">
        <v>597</v>
      </c>
      <c r="B165" s="3">
        <v>45921</v>
      </c>
      <c r="C165" t="str">
        <f t="shared" si="19"/>
        <v>September</v>
      </c>
      <c r="D165">
        <f t="shared" si="20"/>
        <v>2025</v>
      </c>
      <c r="E165" s="3">
        <v>45926</v>
      </c>
      <c r="F165">
        <f t="shared" si="18"/>
        <v>5</v>
      </c>
      <c r="G165" t="s">
        <v>598</v>
      </c>
      <c r="H165" t="s">
        <v>141</v>
      </c>
      <c r="I165" t="s">
        <v>95</v>
      </c>
      <c r="J165" t="s">
        <v>63</v>
      </c>
      <c r="K165" t="s">
        <v>180</v>
      </c>
      <c r="L165" t="s">
        <v>181</v>
      </c>
      <c r="M165" t="s">
        <v>41</v>
      </c>
      <c r="N165" t="s">
        <v>42</v>
      </c>
      <c r="O165" t="s">
        <v>599</v>
      </c>
      <c r="P165" t="s">
        <v>2781</v>
      </c>
      <c r="Q165">
        <v>6</v>
      </c>
      <c r="R165">
        <v>2903.58</v>
      </c>
      <c r="S165" s="6">
        <v>0.1</v>
      </c>
      <c r="T165" s="6">
        <f t="shared" si="21"/>
        <v>0.1</v>
      </c>
      <c r="U165">
        <v>15679.33</v>
      </c>
      <c r="V165">
        <f t="shared" si="22"/>
        <v>15679.332</v>
      </c>
      <c r="W165" s="6">
        <f t="shared" si="23"/>
        <v>2.0000000004074536E-3</v>
      </c>
      <c r="X165">
        <v>12477.82</v>
      </c>
      <c r="Y165">
        <v>3201.51</v>
      </c>
      <c r="Z165">
        <f t="shared" si="24"/>
        <v>3201.5120000000006</v>
      </c>
      <c r="AA165" s="6">
        <f t="shared" si="25"/>
        <v>2.0000000004074536E-3</v>
      </c>
      <c r="AB165">
        <f t="shared" si="26"/>
        <v>0.20418675999717339</v>
      </c>
      <c r="AC165" t="s">
        <v>111</v>
      </c>
      <c r="AD165" t="s">
        <v>103</v>
      </c>
      <c r="AE165" t="s">
        <v>2827</v>
      </c>
      <c r="AF165" t="s">
        <v>2830</v>
      </c>
    </row>
    <row r="166" spans="1:32">
      <c r="A166" t="s">
        <v>600</v>
      </c>
      <c r="B166" s="3">
        <v>45909</v>
      </c>
      <c r="C166" t="str">
        <f t="shared" si="19"/>
        <v>September</v>
      </c>
      <c r="D166">
        <f t="shared" si="20"/>
        <v>2025</v>
      </c>
      <c r="E166" s="3">
        <v>45914</v>
      </c>
      <c r="F166">
        <f t="shared" si="18"/>
        <v>5</v>
      </c>
      <c r="G166" t="s">
        <v>601</v>
      </c>
      <c r="H166" t="s">
        <v>118</v>
      </c>
      <c r="I166" t="s">
        <v>37</v>
      </c>
      <c r="J166" t="s">
        <v>38</v>
      </c>
      <c r="K166" t="s">
        <v>99</v>
      </c>
      <c r="L166" t="s">
        <v>100</v>
      </c>
      <c r="M166" t="s">
        <v>41</v>
      </c>
      <c r="N166" t="s">
        <v>158</v>
      </c>
      <c r="O166" t="s">
        <v>602</v>
      </c>
      <c r="P166" t="s">
        <v>31</v>
      </c>
      <c r="Q166">
        <v>1</v>
      </c>
      <c r="R166">
        <v>3154.42</v>
      </c>
      <c r="S166" s="6">
        <v>0.25</v>
      </c>
      <c r="T166" s="6">
        <f t="shared" si="21"/>
        <v>0.25</v>
      </c>
      <c r="U166">
        <v>2365.8200000000002</v>
      </c>
      <c r="V166">
        <f t="shared" si="22"/>
        <v>2365.8150000000001</v>
      </c>
      <c r="W166" s="6">
        <f t="shared" si="23"/>
        <v>-5.0000000001091394E-3</v>
      </c>
      <c r="X166">
        <v>1547.99</v>
      </c>
      <c r="Y166">
        <v>817.83</v>
      </c>
      <c r="Z166">
        <f t="shared" si="24"/>
        <v>817.82500000000005</v>
      </c>
      <c r="AA166" s="6">
        <f t="shared" si="25"/>
        <v>-4.9999999999954525E-3</v>
      </c>
      <c r="AB166">
        <f t="shared" si="26"/>
        <v>0.34568425679945392</v>
      </c>
      <c r="AC166" t="s">
        <v>32</v>
      </c>
      <c r="AD166" t="s">
        <v>33</v>
      </c>
      <c r="AE166" t="s">
        <v>2828</v>
      </c>
    </row>
    <row r="167" spans="1:32">
      <c r="A167" t="s">
        <v>603</v>
      </c>
      <c r="B167" s="3">
        <v>45618</v>
      </c>
      <c r="C167" t="str">
        <f t="shared" si="19"/>
        <v>November</v>
      </c>
      <c r="D167">
        <f t="shared" si="20"/>
        <v>2024</v>
      </c>
      <c r="E167" s="3">
        <v>45625</v>
      </c>
      <c r="F167">
        <f t="shared" si="18"/>
        <v>7</v>
      </c>
      <c r="G167" t="s">
        <v>604</v>
      </c>
      <c r="H167" t="s">
        <v>36</v>
      </c>
      <c r="I167" t="s">
        <v>95</v>
      </c>
      <c r="J167" t="s">
        <v>38</v>
      </c>
      <c r="K167" t="s">
        <v>145</v>
      </c>
      <c r="L167" t="s">
        <v>146</v>
      </c>
      <c r="M167" t="s">
        <v>41</v>
      </c>
      <c r="N167" t="s">
        <v>66</v>
      </c>
      <c r="O167" t="s">
        <v>605</v>
      </c>
      <c r="P167" t="s">
        <v>59</v>
      </c>
      <c r="Q167">
        <v>4</v>
      </c>
      <c r="R167">
        <v>3422.99</v>
      </c>
      <c r="S167" s="6">
        <v>0.25</v>
      </c>
      <c r="T167" s="6">
        <f t="shared" si="21"/>
        <v>0.25</v>
      </c>
      <c r="U167">
        <v>10268.969999999999</v>
      </c>
      <c r="V167">
        <f t="shared" si="22"/>
        <v>10268.969999999999</v>
      </c>
      <c r="W167" s="6">
        <f t="shared" si="23"/>
        <v>0</v>
      </c>
      <c r="X167">
        <v>6470.92</v>
      </c>
      <c r="Y167">
        <v>3798.05</v>
      </c>
      <c r="Z167">
        <f t="shared" si="24"/>
        <v>3798.0499999999993</v>
      </c>
      <c r="AA167" s="6">
        <f t="shared" si="25"/>
        <v>0</v>
      </c>
      <c r="AB167">
        <f t="shared" si="26"/>
        <v>0.36985695741637181</v>
      </c>
      <c r="AC167" t="s">
        <v>32</v>
      </c>
      <c r="AD167" t="s">
        <v>33</v>
      </c>
      <c r="AE167" t="s">
        <v>2828</v>
      </c>
    </row>
    <row r="168" spans="1:32">
      <c r="A168" t="s">
        <v>606</v>
      </c>
      <c r="B168" s="3">
        <v>45708</v>
      </c>
      <c r="C168" t="str">
        <f t="shared" si="19"/>
        <v>February</v>
      </c>
      <c r="D168">
        <f t="shared" si="20"/>
        <v>2025</v>
      </c>
      <c r="E168" s="3">
        <v>45714</v>
      </c>
      <c r="F168">
        <f t="shared" si="18"/>
        <v>6</v>
      </c>
      <c r="G168" t="s">
        <v>607</v>
      </c>
      <c r="H168" t="s">
        <v>23</v>
      </c>
      <c r="I168" t="s">
        <v>37</v>
      </c>
      <c r="J168" t="s">
        <v>63</v>
      </c>
      <c r="K168" t="s">
        <v>180</v>
      </c>
      <c r="L168" t="s">
        <v>181</v>
      </c>
      <c r="M168" t="s">
        <v>28</v>
      </c>
      <c r="N168" t="s">
        <v>91</v>
      </c>
      <c r="O168" t="s">
        <v>608</v>
      </c>
      <c r="P168" t="s">
        <v>50</v>
      </c>
      <c r="Q168">
        <v>1</v>
      </c>
      <c r="R168">
        <v>2557.85</v>
      </c>
      <c r="S168" s="6">
        <v>0.2</v>
      </c>
      <c r="T168" s="6">
        <f t="shared" si="21"/>
        <v>0.2</v>
      </c>
      <c r="U168">
        <v>2046.28</v>
      </c>
      <c r="V168">
        <f t="shared" si="22"/>
        <v>2046.28</v>
      </c>
      <c r="W168" s="6">
        <f t="shared" si="23"/>
        <v>0</v>
      </c>
      <c r="X168">
        <v>1449.54</v>
      </c>
      <c r="Y168">
        <v>596.74</v>
      </c>
      <c r="Z168">
        <f t="shared" si="24"/>
        <v>596.74</v>
      </c>
      <c r="AA168" s="6">
        <f t="shared" si="25"/>
        <v>0</v>
      </c>
      <c r="AB168">
        <f t="shared" si="26"/>
        <v>0.29162186992982386</v>
      </c>
      <c r="AC168" t="s">
        <v>32</v>
      </c>
      <c r="AD168" t="s">
        <v>33</v>
      </c>
      <c r="AE168" t="s">
        <v>2828</v>
      </c>
    </row>
    <row r="169" spans="1:32">
      <c r="A169" t="s">
        <v>609</v>
      </c>
      <c r="B169" s="3">
        <v>45887</v>
      </c>
      <c r="C169" t="str">
        <f t="shared" si="19"/>
        <v>August</v>
      </c>
      <c r="D169">
        <f t="shared" si="20"/>
        <v>2025</v>
      </c>
      <c r="E169" s="3">
        <v>45887</v>
      </c>
      <c r="F169">
        <f t="shared" si="18"/>
        <v>0</v>
      </c>
      <c r="G169" t="s">
        <v>610</v>
      </c>
      <c r="H169" t="s">
        <v>53</v>
      </c>
      <c r="I169" t="s">
        <v>95</v>
      </c>
      <c r="J169" t="s">
        <v>54</v>
      </c>
      <c r="K169" t="s">
        <v>175</v>
      </c>
      <c r="L169" t="s">
        <v>176</v>
      </c>
      <c r="M169" t="s">
        <v>28</v>
      </c>
      <c r="N169" t="s">
        <v>124</v>
      </c>
      <c r="O169" t="s">
        <v>611</v>
      </c>
      <c r="P169" t="s">
        <v>50</v>
      </c>
      <c r="Q169">
        <v>9</v>
      </c>
      <c r="R169">
        <v>3030.93</v>
      </c>
      <c r="S169" s="6">
        <v>0.15</v>
      </c>
      <c r="T169" s="6">
        <f t="shared" si="21"/>
        <v>0.15</v>
      </c>
      <c r="U169">
        <v>23186.61</v>
      </c>
      <c r="V169">
        <f t="shared" si="22"/>
        <v>23186.6145</v>
      </c>
      <c r="W169" s="6">
        <f t="shared" si="23"/>
        <v>4.4999999990977813E-3</v>
      </c>
      <c r="X169">
        <v>17906.54</v>
      </c>
      <c r="Y169">
        <v>5280.07</v>
      </c>
      <c r="Z169">
        <f t="shared" si="24"/>
        <v>5280.0744999999988</v>
      </c>
      <c r="AA169" s="6">
        <f t="shared" si="25"/>
        <v>4.4999999990977813E-3</v>
      </c>
      <c r="AB169">
        <f t="shared" si="26"/>
        <v>0.22772080417345961</v>
      </c>
      <c r="AC169" t="s">
        <v>32</v>
      </c>
      <c r="AD169" t="s">
        <v>103</v>
      </c>
      <c r="AE169" t="s">
        <v>2827</v>
      </c>
      <c r="AF169" t="s">
        <v>103</v>
      </c>
    </row>
    <row r="170" spans="1:32">
      <c r="A170" t="s">
        <v>612</v>
      </c>
      <c r="B170" s="3">
        <v>45677</v>
      </c>
      <c r="C170" t="str">
        <f t="shared" si="19"/>
        <v>January</v>
      </c>
      <c r="D170">
        <f t="shared" si="20"/>
        <v>2025</v>
      </c>
      <c r="E170" s="3">
        <v>45680</v>
      </c>
      <c r="F170">
        <f t="shared" si="18"/>
        <v>3</v>
      </c>
      <c r="G170" t="s">
        <v>613</v>
      </c>
      <c r="H170" t="s">
        <v>264</v>
      </c>
      <c r="I170" t="s">
        <v>24</v>
      </c>
      <c r="J170" t="s">
        <v>63</v>
      </c>
      <c r="K170" t="s">
        <v>64</v>
      </c>
      <c r="L170" t="s">
        <v>65</v>
      </c>
      <c r="M170" t="s">
        <v>74</v>
      </c>
      <c r="N170" t="s">
        <v>75</v>
      </c>
      <c r="O170" t="s">
        <v>614</v>
      </c>
      <c r="P170" t="s">
        <v>44</v>
      </c>
      <c r="Q170">
        <v>5</v>
      </c>
      <c r="R170">
        <v>639.27</v>
      </c>
      <c r="S170" s="6">
        <v>0.2</v>
      </c>
      <c r="T170" s="6">
        <f t="shared" si="21"/>
        <v>0.2</v>
      </c>
      <c r="U170">
        <v>2557.08</v>
      </c>
      <c r="V170">
        <f t="shared" si="22"/>
        <v>2557.08</v>
      </c>
      <c r="W170" s="6">
        <f t="shared" si="23"/>
        <v>0</v>
      </c>
      <c r="X170">
        <v>2025.69</v>
      </c>
      <c r="Y170">
        <v>531.39</v>
      </c>
      <c r="Z170">
        <f t="shared" si="24"/>
        <v>531.38999999999987</v>
      </c>
      <c r="AA170" s="6">
        <f t="shared" si="25"/>
        <v>0</v>
      </c>
      <c r="AB170">
        <f t="shared" si="26"/>
        <v>0.2078112534609789</v>
      </c>
      <c r="AC170" t="s">
        <v>32</v>
      </c>
      <c r="AD170" t="s">
        <v>68</v>
      </c>
      <c r="AE170" t="s">
        <v>2827</v>
      </c>
      <c r="AF170" t="s">
        <v>2795</v>
      </c>
    </row>
    <row r="171" spans="1:32">
      <c r="A171" t="s">
        <v>615</v>
      </c>
      <c r="B171" s="3">
        <v>45913</v>
      </c>
      <c r="C171" t="str">
        <f t="shared" si="19"/>
        <v>September</v>
      </c>
      <c r="D171">
        <f t="shared" si="20"/>
        <v>2025</v>
      </c>
      <c r="E171" s="3">
        <v>45913</v>
      </c>
      <c r="F171">
        <f t="shared" si="18"/>
        <v>0</v>
      </c>
      <c r="G171" t="s">
        <v>616</v>
      </c>
      <c r="H171" t="s">
        <v>162</v>
      </c>
      <c r="I171" t="s">
        <v>24</v>
      </c>
      <c r="J171" t="s">
        <v>38</v>
      </c>
      <c r="K171" t="s">
        <v>166</v>
      </c>
      <c r="L171" t="s">
        <v>167</v>
      </c>
      <c r="M171" t="s">
        <v>28</v>
      </c>
      <c r="N171" t="s">
        <v>48</v>
      </c>
      <c r="O171" t="s">
        <v>617</v>
      </c>
      <c r="P171" t="s">
        <v>59</v>
      </c>
      <c r="Q171">
        <v>8</v>
      </c>
      <c r="R171">
        <v>733.9</v>
      </c>
      <c r="S171" s="6">
        <v>0.05</v>
      </c>
      <c r="T171" s="6">
        <f t="shared" si="21"/>
        <v>0.05</v>
      </c>
      <c r="U171">
        <v>5577.64</v>
      </c>
      <c r="V171">
        <f t="shared" si="22"/>
        <v>5577.6399999999994</v>
      </c>
      <c r="W171" s="6">
        <f t="shared" si="23"/>
        <v>0</v>
      </c>
      <c r="X171">
        <v>3541.29</v>
      </c>
      <c r="Y171">
        <v>2036.35</v>
      </c>
      <c r="Z171">
        <f t="shared" si="24"/>
        <v>2036.3499999999995</v>
      </c>
      <c r="AA171" s="6">
        <f t="shared" si="25"/>
        <v>0</v>
      </c>
      <c r="AB171">
        <f t="shared" si="26"/>
        <v>0.36509168752375548</v>
      </c>
      <c r="AC171" t="s">
        <v>111</v>
      </c>
      <c r="AD171" t="s">
        <v>103</v>
      </c>
      <c r="AE171" t="s">
        <v>2827</v>
      </c>
      <c r="AF171" t="s">
        <v>2814</v>
      </c>
    </row>
    <row r="172" spans="1:32">
      <c r="A172" t="s">
        <v>618</v>
      </c>
      <c r="B172" s="3">
        <v>45847</v>
      </c>
      <c r="C172" t="str">
        <f t="shared" si="19"/>
        <v>July</v>
      </c>
      <c r="D172">
        <f t="shared" si="20"/>
        <v>2025</v>
      </c>
      <c r="E172" s="3">
        <v>45915</v>
      </c>
      <c r="F172">
        <f t="shared" si="18"/>
        <v>68</v>
      </c>
      <c r="G172" t="s">
        <v>619</v>
      </c>
      <c r="H172" t="s">
        <v>141</v>
      </c>
      <c r="I172" t="s">
        <v>90</v>
      </c>
      <c r="J172" t="s">
        <v>38</v>
      </c>
      <c r="K172" t="s">
        <v>145</v>
      </c>
      <c r="L172" t="s">
        <v>146</v>
      </c>
      <c r="M172" t="s">
        <v>74</v>
      </c>
      <c r="N172" t="s">
        <v>80</v>
      </c>
      <c r="O172" t="s">
        <v>620</v>
      </c>
      <c r="P172" t="s">
        <v>59</v>
      </c>
      <c r="Q172">
        <v>3</v>
      </c>
      <c r="R172">
        <v>1711.32</v>
      </c>
      <c r="S172" s="6">
        <v>0</v>
      </c>
      <c r="T172" s="6">
        <f t="shared" si="21"/>
        <v>0</v>
      </c>
      <c r="U172">
        <v>5133.96</v>
      </c>
      <c r="V172">
        <f t="shared" si="22"/>
        <v>5133.96</v>
      </c>
      <c r="W172" s="6">
        <f t="shared" si="23"/>
        <v>0</v>
      </c>
      <c r="X172">
        <v>3930</v>
      </c>
      <c r="Y172">
        <v>1203.96</v>
      </c>
      <c r="Z172">
        <f t="shared" si="24"/>
        <v>1203.96</v>
      </c>
      <c r="AA172" s="6">
        <f t="shared" si="25"/>
        <v>0</v>
      </c>
      <c r="AB172">
        <f t="shared" si="26"/>
        <v>0.23450903396208775</v>
      </c>
      <c r="AC172" t="s">
        <v>32</v>
      </c>
      <c r="AD172" t="s">
        <v>33</v>
      </c>
      <c r="AE172" t="s">
        <v>2826</v>
      </c>
      <c r="AF172" s="10" t="s">
        <v>2800</v>
      </c>
    </row>
    <row r="173" spans="1:32">
      <c r="A173" t="s">
        <v>621</v>
      </c>
      <c r="B173" s="3">
        <v>45711</v>
      </c>
      <c r="C173" t="str">
        <f t="shared" si="19"/>
        <v>February</v>
      </c>
      <c r="D173">
        <f t="shared" si="20"/>
        <v>2025</v>
      </c>
      <c r="E173" s="3">
        <v>45713</v>
      </c>
      <c r="F173">
        <f t="shared" si="18"/>
        <v>2</v>
      </c>
      <c r="G173" t="s">
        <v>622</v>
      </c>
      <c r="H173" t="s">
        <v>23</v>
      </c>
      <c r="I173" t="s">
        <v>90</v>
      </c>
      <c r="J173" t="s">
        <v>38</v>
      </c>
      <c r="K173" t="s">
        <v>145</v>
      </c>
      <c r="L173" t="s">
        <v>146</v>
      </c>
      <c r="M173" t="s">
        <v>28</v>
      </c>
      <c r="N173" t="s">
        <v>91</v>
      </c>
      <c r="O173" t="s">
        <v>623</v>
      </c>
      <c r="P173" t="s">
        <v>44</v>
      </c>
      <c r="Q173">
        <v>5</v>
      </c>
      <c r="R173">
        <v>4246.2700000000004</v>
      </c>
      <c r="S173" s="6">
        <v>0.25</v>
      </c>
      <c r="T173" s="6">
        <f t="shared" si="21"/>
        <v>0.25</v>
      </c>
      <c r="U173">
        <v>15923.51</v>
      </c>
      <c r="V173">
        <f t="shared" si="22"/>
        <v>15923.512500000001</v>
      </c>
      <c r="W173" s="6">
        <f t="shared" si="23"/>
        <v>2.500000000509317E-3</v>
      </c>
      <c r="X173">
        <v>11291.8</v>
      </c>
      <c r="Y173">
        <v>4631.71</v>
      </c>
      <c r="Z173">
        <f t="shared" si="24"/>
        <v>4631.7125000000015</v>
      </c>
      <c r="AA173" s="6">
        <f t="shared" si="25"/>
        <v>2.5000000014188117E-3</v>
      </c>
      <c r="AB173">
        <f t="shared" si="26"/>
        <v>0.29087253832971849</v>
      </c>
      <c r="AC173" t="s">
        <v>32</v>
      </c>
      <c r="AD173" t="s">
        <v>33</v>
      </c>
      <c r="AE173" t="s">
        <v>2828</v>
      </c>
    </row>
    <row r="174" spans="1:32">
      <c r="A174" t="s">
        <v>624</v>
      </c>
      <c r="B174" s="3">
        <v>45696</v>
      </c>
      <c r="C174" t="str">
        <f t="shared" si="19"/>
        <v>February</v>
      </c>
      <c r="D174">
        <f t="shared" si="20"/>
        <v>2025</v>
      </c>
      <c r="E174" s="3">
        <v>45938</v>
      </c>
      <c r="F174">
        <f t="shared" si="18"/>
        <v>242</v>
      </c>
      <c r="G174" t="s">
        <v>625</v>
      </c>
      <c r="H174" t="s">
        <v>23</v>
      </c>
      <c r="I174" t="s">
        <v>90</v>
      </c>
      <c r="J174" t="s">
        <v>25</v>
      </c>
      <c r="K174" t="s">
        <v>350</v>
      </c>
      <c r="L174" t="s">
        <v>351</v>
      </c>
      <c r="M174" t="s">
        <v>41</v>
      </c>
      <c r="N174" t="s">
        <v>57</v>
      </c>
      <c r="O174" t="s">
        <v>626</v>
      </c>
      <c r="P174" t="s">
        <v>44</v>
      </c>
      <c r="Q174">
        <v>9</v>
      </c>
      <c r="R174">
        <v>2962.62</v>
      </c>
      <c r="S174" s="6">
        <v>0.1</v>
      </c>
      <c r="T174" s="6">
        <f t="shared" si="21"/>
        <v>0.1</v>
      </c>
      <c r="U174">
        <v>23997.22</v>
      </c>
      <c r="V174">
        <f t="shared" si="22"/>
        <v>23997.221999999998</v>
      </c>
      <c r="W174" s="6">
        <f t="shared" si="23"/>
        <v>1.9999999967694748E-3</v>
      </c>
      <c r="X174">
        <v>16134.63</v>
      </c>
      <c r="Y174">
        <v>7862.59</v>
      </c>
      <c r="Z174">
        <f t="shared" si="24"/>
        <v>7862.5919999999987</v>
      </c>
      <c r="AA174" s="6">
        <f t="shared" si="25"/>
        <v>1.9999999985884642E-3</v>
      </c>
      <c r="AB174">
        <f t="shared" si="26"/>
        <v>0.32764592501582057</v>
      </c>
      <c r="AC174" t="s">
        <v>102</v>
      </c>
      <c r="AD174" t="s">
        <v>103</v>
      </c>
      <c r="AE174" t="s">
        <v>2827</v>
      </c>
      <c r="AF174" t="s">
        <v>2807</v>
      </c>
    </row>
    <row r="175" spans="1:32">
      <c r="A175" t="s">
        <v>627</v>
      </c>
      <c r="B175" s="3">
        <v>45327</v>
      </c>
      <c r="C175" t="str">
        <f t="shared" si="19"/>
        <v>February</v>
      </c>
      <c r="D175">
        <f t="shared" si="20"/>
        <v>2024</v>
      </c>
      <c r="E175" s="3">
        <v>45509</v>
      </c>
      <c r="F175">
        <f t="shared" si="18"/>
        <v>182</v>
      </c>
      <c r="G175" t="s">
        <v>628</v>
      </c>
      <c r="H175" t="s">
        <v>114</v>
      </c>
      <c r="I175" t="s">
        <v>95</v>
      </c>
      <c r="J175" t="s">
        <v>25</v>
      </c>
      <c r="K175" t="s">
        <v>122</v>
      </c>
      <c r="L175" t="s">
        <v>123</v>
      </c>
      <c r="M175" t="s">
        <v>74</v>
      </c>
      <c r="N175" t="s">
        <v>80</v>
      </c>
      <c r="O175" t="s">
        <v>629</v>
      </c>
      <c r="P175" t="s">
        <v>31</v>
      </c>
      <c r="Q175">
        <v>1</v>
      </c>
      <c r="R175">
        <v>2312.25</v>
      </c>
      <c r="S175" s="6">
        <v>0.25</v>
      </c>
      <c r="T175" s="6">
        <f t="shared" si="21"/>
        <v>0.25</v>
      </c>
      <c r="U175">
        <v>1734.19</v>
      </c>
      <c r="V175">
        <f t="shared" si="22"/>
        <v>1734.1875</v>
      </c>
      <c r="W175" s="6">
        <f t="shared" si="23"/>
        <v>-2.5000000000545697E-3</v>
      </c>
      <c r="X175">
        <v>1386.07</v>
      </c>
      <c r="Y175">
        <v>348.12</v>
      </c>
      <c r="Z175">
        <f t="shared" si="24"/>
        <v>348.11750000000006</v>
      </c>
      <c r="AA175" s="6">
        <f t="shared" si="25"/>
        <v>-2.4999999999408828E-3</v>
      </c>
      <c r="AB175">
        <f t="shared" si="26"/>
        <v>0.20073809781237614</v>
      </c>
      <c r="AC175" t="s">
        <v>32</v>
      </c>
      <c r="AD175" t="s">
        <v>33</v>
      </c>
      <c r="AE175" t="s">
        <v>2828</v>
      </c>
    </row>
    <row r="176" spans="1:32">
      <c r="A176" t="s">
        <v>630</v>
      </c>
      <c r="B176" s="3">
        <v>45928</v>
      </c>
      <c r="C176" t="str">
        <f t="shared" si="19"/>
        <v>September</v>
      </c>
      <c r="D176">
        <f t="shared" si="20"/>
        <v>2025</v>
      </c>
      <c r="E176" s="3">
        <v>45757</v>
      </c>
      <c r="F176">
        <f t="shared" si="18"/>
        <v>-171</v>
      </c>
      <c r="G176" t="s">
        <v>631</v>
      </c>
      <c r="H176" t="s">
        <v>23</v>
      </c>
      <c r="I176" t="s">
        <v>37</v>
      </c>
      <c r="J176" t="s">
        <v>54</v>
      </c>
      <c r="K176" t="s">
        <v>175</v>
      </c>
      <c r="L176" t="s">
        <v>176</v>
      </c>
      <c r="M176" t="s">
        <v>41</v>
      </c>
      <c r="N176" t="s">
        <v>158</v>
      </c>
      <c r="O176" t="s">
        <v>632</v>
      </c>
      <c r="P176" t="s">
        <v>50</v>
      </c>
      <c r="Q176">
        <v>6</v>
      </c>
      <c r="R176">
        <v>1620.53</v>
      </c>
      <c r="S176" s="6">
        <v>0.15</v>
      </c>
      <c r="T176" s="6">
        <f t="shared" si="21"/>
        <v>0.15</v>
      </c>
      <c r="U176">
        <v>8264.7000000000007</v>
      </c>
      <c r="V176">
        <f t="shared" si="22"/>
        <v>8264.7029999999995</v>
      </c>
      <c r="W176" s="6">
        <f t="shared" si="23"/>
        <v>2.999999998792191E-3</v>
      </c>
      <c r="X176">
        <v>4768.75</v>
      </c>
      <c r="Y176">
        <v>3495.95</v>
      </c>
      <c r="Z176">
        <f t="shared" si="24"/>
        <v>3495.9529999999995</v>
      </c>
      <c r="AA176" s="6">
        <f t="shared" si="25"/>
        <v>2.9999999997016857E-3</v>
      </c>
      <c r="AB176">
        <f t="shared" si="26"/>
        <v>0.42299801940856191</v>
      </c>
      <c r="AC176" t="s">
        <v>111</v>
      </c>
      <c r="AD176" t="s">
        <v>103</v>
      </c>
      <c r="AE176" t="s">
        <v>2826</v>
      </c>
      <c r="AF176" s="10" t="s">
        <v>2815</v>
      </c>
    </row>
    <row r="177" spans="1:32">
      <c r="A177" t="s">
        <v>633</v>
      </c>
      <c r="B177" s="3">
        <v>45318</v>
      </c>
      <c r="C177" t="str">
        <f t="shared" si="19"/>
        <v>January</v>
      </c>
      <c r="D177">
        <f t="shared" si="20"/>
        <v>2024</v>
      </c>
      <c r="E177" s="3">
        <v>45353</v>
      </c>
      <c r="F177">
        <f t="shared" si="18"/>
        <v>35</v>
      </c>
      <c r="G177" t="s">
        <v>634</v>
      </c>
      <c r="H177" t="s">
        <v>53</v>
      </c>
      <c r="I177" t="s">
        <v>37</v>
      </c>
      <c r="J177" t="s">
        <v>38</v>
      </c>
      <c r="K177" t="s">
        <v>145</v>
      </c>
      <c r="L177" t="s">
        <v>146</v>
      </c>
      <c r="M177" t="s">
        <v>74</v>
      </c>
      <c r="N177" t="s">
        <v>274</v>
      </c>
      <c r="O177" t="s">
        <v>635</v>
      </c>
      <c r="P177" t="s">
        <v>44</v>
      </c>
      <c r="Q177">
        <v>7</v>
      </c>
      <c r="R177">
        <v>2673.42</v>
      </c>
      <c r="S177" s="6">
        <v>0.15</v>
      </c>
      <c r="T177" s="6">
        <f t="shared" si="21"/>
        <v>0.15</v>
      </c>
      <c r="U177">
        <v>15906.85</v>
      </c>
      <c r="V177">
        <f t="shared" si="22"/>
        <v>15906.849000000002</v>
      </c>
      <c r="W177" s="6">
        <f t="shared" si="23"/>
        <v>-9.9999999838473741E-4</v>
      </c>
      <c r="X177">
        <v>11014.46</v>
      </c>
      <c r="Y177">
        <v>4892.3900000000003</v>
      </c>
      <c r="Z177">
        <f t="shared" si="24"/>
        <v>4892.3890000000029</v>
      </c>
      <c r="AA177" s="6">
        <f t="shared" si="25"/>
        <v>-9.9999999747524271E-4</v>
      </c>
      <c r="AB177">
        <f t="shared" si="26"/>
        <v>0.30756493633654297</v>
      </c>
      <c r="AC177" t="s">
        <v>32</v>
      </c>
      <c r="AD177" t="s">
        <v>103</v>
      </c>
      <c r="AE177" t="s">
        <v>2827</v>
      </c>
      <c r="AF177" t="s">
        <v>103</v>
      </c>
    </row>
    <row r="178" spans="1:32">
      <c r="A178" t="s">
        <v>636</v>
      </c>
      <c r="B178" s="3">
        <v>45734</v>
      </c>
      <c r="C178" t="str">
        <f t="shared" si="19"/>
        <v>March</v>
      </c>
      <c r="D178">
        <f t="shared" si="20"/>
        <v>2025</v>
      </c>
      <c r="E178" s="3">
        <v>45742</v>
      </c>
      <c r="F178">
        <f t="shared" si="18"/>
        <v>8</v>
      </c>
      <c r="G178" t="s">
        <v>637</v>
      </c>
      <c r="H178" t="s">
        <v>71</v>
      </c>
      <c r="I178" t="s">
        <v>90</v>
      </c>
      <c r="J178" t="s">
        <v>38</v>
      </c>
      <c r="K178" t="s">
        <v>228</v>
      </c>
      <c r="L178" t="s">
        <v>229</v>
      </c>
      <c r="M178" t="s">
        <v>41</v>
      </c>
      <c r="N178" t="s">
        <v>158</v>
      </c>
      <c r="O178" t="s">
        <v>638</v>
      </c>
      <c r="P178" t="s">
        <v>59</v>
      </c>
      <c r="Q178">
        <v>8</v>
      </c>
      <c r="R178">
        <v>3563.09</v>
      </c>
      <c r="S178" s="6">
        <v>0.15</v>
      </c>
      <c r="T178" s="6">
        <f t="shared" si="21"/>
        <v>0.15</v>
      </c>
      <c r="U178">
        <v>24229.01</v>
      </c>
      <c r="V178">
        <f t="shared" si="22"/>
        <v>24229.011999999999</v>
      </c>
      <c r="W178" s="6">
        <f t="shared" si="23"/>
        <v>2.0000000004074536E-3</v>
      </c>
      <c r="X178">
        <v>13910.64</v>
      </c>
      <c r="Y178">
        <v>10318.370000000001</v>
      </c>
      <c r="Z178">
        <f t="shared" si="24"/>
        <v>10318.371999999999</v>
      </c>
      <c r="AA178" s="6">
        <f t="shared" si="25"/>
        <v>1.9999999985884642E-3</v>
      </c>
      <c r="AB178">
        <f t="shared" si="26"/>
        <v>0.42586845885420338</v>
      </c>
      <c r="AC178" t="s">
        <v>32</v>
      </c>
      <c r="AD178" t="s">
        <v>33</v>
      </c>
      <c r="AE178" t="s">
        <v>2828</v>
      </c>
    </row>
    <row r="179" spans="1:32">
      <c r="A179" t="s">
        <v>639</v>
      </c>
      <c r="B179" s="3">
        <v>45297</v>
      </c>
      <c r="C179" t="str">
        <f t="shared" si="19"/>
        <v>January</v>
      </c>
      <c r="D179">
        <f t="shared" si="20"/>
        <v>2024</v>
      </c>
      <c r="E179" s="3">
        <v>45446</v>
      </c>
      <c r="F179">
        <f t="shared" si="18"/>
        <v>149</v>
      </c>
      <c r="G179" t="s">
        <v>640</v>
      </c>
      <c r="H179" t="s">
        <v>132</v>
      </c>
      <c r="I179" t="s">
        <v>95</v>
      </c>
      <c r="J179" t="s">
        <v>2781</v>
      </c>
      <c r="K179" t="s">
        <v>145</v>
      </c>
      <c r="L179" t="s">
        <v>146</v>
      </c>
      <c r="M179" t="s">
        <v>28</v>
      </c>
      <c r="N179" t="s">
        <v>48</v>
      </c>
      <c r="O179" t="s">
        <v>641</v>
      </c>
      <c r="P179" t="s">
        <v>44</v>
      </c>
      <c r="Q179">
        <v>8</v>
      </c>
      <c r="R179">
        <v>3879.95</v>
      </c>
      <c r="S179" s="6">
        <v>0</v>
      </c>
      <c r="T179" s="6">
        <f t="shared" si="21"/>
        <v>0</v>
      </c>
      <c r="U179">
        <v>31039.599999999999</v>
      </c>
      <c r="V179">
        <f t="shared" si="22"/>
        <v>31039.599999999999</v>
      </c>
      <c r="W179" s="6">
        <f t="shared" si="23"/>
        <v>0</v>
      </c>
      <c r="X179">
        <v>20866.72</v>
      </c>
      <c r="Y179">
        <v>10172.879999999999</v>
      </c>
      <c r="Z179">
        <f t="shared" si="24"/>
        <v>10172.879999999997</v>
      </c>
      <c r="AA179" s="6">
        <f t="shared" si="25"/>
        <v>0</v>
      </c>
      <c r="AB179">
        <f t="shared" si="26"/>
        <v>0.32773875952009685</v>
      </c>
      <c r="AC179" t="s">
        <v>32</v>
      </c>
      <c r="AD179" t="s">
        <v>33</v>
      </c>
      <c r="AE179" t="s">
        <v>2828</v>
      </c>
    </row>
    <row r="180" spans="1:32">
      <c r="A180" t="s">
        <v>642</v>
      </c>
      <c r="B180" s="3">
        <v>45565</v>
      </c>
      <c r="C180" t="str">
        <f t="shared" si="19"/>
        <v>September</v>
      </c>
      <c r="D180">
        <f t="shared" si="20"/>
        <v>2024</v>
      </c>
      <c r="E180" s="3">
        <v>45565</v>
      </c>
      <c r="F180">
        <f t="shared" si="18"/>
        <v>0</v>
      </c>
      <c r="G180" t="s">
        <v>643</v>
      </c>
      <c r="H180" t="s">
        <v>47</v>
      </c>
      <c r="I180" t="s">
        <v>90</v>
      </c>
      <c r="J180" t="s">
        <v>54</v>
      </c>
      <c r="K180" t="s">
        <v>55</v>
      </c>
      <c r="L180" t="s">
        <v>56</v>
      </c>
      <c r="M180" t="s">
        <v>28</v>
      </c>
      <c r="N180" t="s">
        <v>48</v>
      </c>
      <c r="O180" t="s">
        <v>644</v>
      </c>
      <c r="P180" t="s">
        <v>59</v>
      </c>
      <c r="Q180">
        <v>4</v>
      </c>
      <c r="R180">
        <v>3281.74</v>
      </c>
      <c r="S180" s="6">
        <v>0</v>
      </c>
      <c r="T180" s="6">
        <f t="shared" si="21"/>
        <v>0</v>
      </c>
      <c r="U180">
        <v>13126.96</v>
      </c>
      <c r="V180">
        <f t="shared" si="22"/>
        <v>13126.96</v>
      </c>
      <c r="W180" s="6">
        <f t="shared" si="23"/>
        <v>0</v>
      </c>
      <c r="X180">
        <v>10732.44</v>
      </c>
      <c r="Y180">
        <v>2394.52</v>
      </c>
      <c r="Z180">
        <f t="shared" si="24"/>
        <v>2394.5199999999986</v>
      </c>
      <c r="AA180" s="6">
        <f t="shared" si="25"/>
        <v>0</v>
      </c>
      <c r="AB180">
        <f t="shared" si="26"/>
        <v>0.18241237879905162</v>
      </c>
      <c r="AC180" t="s">
        <v>32</v>
      </c>
      <c r="AD180" t="s">
        <v>33</v>
      </c>
      <c r="AE180" t="s">
        <v>2828</v>
      </c>
    </row>
    <row r="181" spans="1:32">
      <c r="A181" t="s">
        <v>645</v>
      </c>
      <c r="B181" s="3">
        <v>45366</v>
      </c>
      <c r="C181" t="str">
        <f t="shared" si="19"/>
        <v>March</v>
      </c>
      <c r="D181">
        <f t="shared" si="20"/>
        <v>2024</v>
      </c>
      <c r="E181" s="3">
        <v>45370</v>
      </c>
      <c r="F181">
        <f t="shared" si="18"/>
        <v>4</v>
      </c>
      <c r="G181" t="s">
        <v>646</v>
      </c>
      <c r="H181" t="s">
        <v>62</v>
      </c>
      <c r="I181" t="s">
        <v>37</v>
      </c>
      <c r="J181" t="s">
        <v>54</v>
      </c>
      <c r="K181" t="s">
        <v>247</v>
      </c>
      <c r="L181" t="s">
        <v>248</v>
      </c>
      <c r="M181" t="s">
        <v>41</v>
      </c>
      <c r="N181" t="s">
        <v>57</v>
      </c>
      <c r="O181" t="s">
        <v>647</v>
      </c>
      <c r="P181" t="s">
        <v>59</v>
      </c>
      <c r="Q181">
        <v>4</v>
      </c>
      <c r="R181">
        <v>3186.3</v>
      </c>
      <c r="S181" s="6">
        <v>0.25</v>
      </c>
      <c r="T181" s="6">
        <f t="shared" si="21"/>
        <v>0.25</v>
      </c>
      <c r="U181">
        <v>9558.9</v>
      </c>
      <c r="V181">
        <f t="shared" si="22"/>
        <v>9558.9000000000015</v>
      </c>
      <c r="W181" s="6">
        <f t="shared" si="23"/>
        <v>0</v>
      </c>
      <c r="X181">
        <v>5516.76</v>
      </c>
      <c r="Y181">
        <v>4042.14</v>
      </c>
      <c r="Z181">
        <f t="shared" si="24"/>
        <v>4042.1400000000012</v>
      </c>
      <c r="AA181" s="6">
        <f t="shared" si="25"/>
        <v>0</v>
      </c>
      <c r="AB181">
        <f t="shared" si="26"/>
        <v>0.42286664783604816</v>
      </c>
      <c r="AC181" t="s">
        <v>102</v>
      </c>
      <c r="AD181" t="s">
        <v>103</v>
      </c>
      <c r="AE181" t="s">
        <v>2827</v>
      </c>
      <c r="AF181" t="s">
        <v>2807</v>
      </c>
    </row>
    <row r="182" spans="1:32">
      <c r="A182" t="s">
        <v>648</v>
      </c>
      <c r="B182" s="3">
        <v>45530</v>
      </c>
      <c r="C182" t="str">
        <f t="shared" si="19"/>
        <v>August</v>
      </c>
      <c r="D182">
        <f t="shared" si="20"/>
        <v>2024</v>
      </c>
      <c r="E182" s="3">
        <v>45530</v>
      </c>
      <c r="F182">
        <f t="shared" si="18"/>
        <v>0</v>
      </c>
      <c r="G182" t="s">
        <v>649</v>
      </c>
      <c r="H182" t="s">
        <v>36</v>
      </c>
      <c r="I182" t="s">
        <v>95</v>
      </c>
      <c r="J182" t="s">
        <v>25</v>
      </c>
      <c r="K182" t="s">
        <v>136</v>
      </c>
      <c r="L182" t="s">
        <v>137</v>
      </c>
      <c r="M182" t="s">
        <v>28</v>
      </c>
      <c r="N182" t="s">
        <v>153</v>
      </c>
      <c r="O182" t="s">
        <v>650</v>
      </c>
      <c r="P182" t="s">
        <v>50</v>
      </c>
      <c r="Q182">
        <v>7</v>
      </c>
      <c r="R182">
        <v>844.59</v>
      </c>
      <c r="S182" s="6">
        <v>0.1</v>
      </c>
      <c r="T182" s="6">
        <f t="shared" si="21"/>
        <v>0.1</v>
      </c>
      <c r="U182">
        <v>5320.92</v>
      </c>
      <c r="V182">
        <f t="shared" si="22"/>
        <v>5320.9170000000004</v>
      </c>
      <c r="W182" s="6">
        <f t="shared" si="23"/>
        <v>-2.9999999997016857E-3</v>
      </c>
      <c r="X182">
        <v>3041.5</v>
      </c>
      <c r="Y182">
        <v>2279.42</v>
      </c>
      <c r="Z182">
        <f t="shared" si="24"/>
        <v>2279.4170000000004</v>
      </c>
      <c r="AA182" s="6">
        <f t="shared" si="25"/>
        <v>-2.9999999997016857E-3</v>
      </c>
      <c r="AB182">
        <f t="shared" si="26"/>
        <v>0.42838800154183954</v>
      </c>
      <c r="AC182" t="s">
        <v>32</v>
      </c>
      <c r="AD182" t="s">
        <v>33</v>
      </c>
      <c r="AE182" t="s">
        <v>2828</v>
      </c>
    </row>
    <row r="183" spans="1:32">
      <c r="A183" t="s">
        <v>651</v>
      </c>
      <c r="B183" s="3">
        <v>45909</v>
      </c>
      <c r="C183" t="str">
        <f t="shared" si="19"/>
        <v>September</v>
      </c>
      <c r="D183">
        <f t="shared" si="20"/>
        <v>2025</v>
      </c>
      <c r="E183" s="3">
        <v>45939</v>
      </c>
      <c r="F183">
        <f t="shared" si="18"/>
        <v>30</v>
      </c>
      <c r="G183" t="s">
        <v>652</v>
      </c>
      <c r="H183" t="s">
        <v>114</v>
      </c>
      <c r="I183" t="s">
        <v>95</v>
      </c>
      <c r="J183" t="s">
        <v>54</v>
      </c>
      <c r="K183" t="s">
        <v>247</v>
      </c>
      <c r="L183" t="s">
        <v>248</v>
      </c>
      <c r="M183" t="s">
        <v>28</v>
      </c>
      <c r="N183" t="s">
        <v>48</v>
      </c>
      <c r="O183" t="s">
        <v>653</v>
      </c>
      <c r="P183" t="s">
        <v>31</v>
      </c>
      <c r="Q183">
        <v>4</v>
      </c>
      <c r="R183">
        <v>2551.4499999999998</v>
      </c>
      <c r="S183" s="6">
        <v>0</v>
      </c>
      <c r="T183" s="6">
        <f t="shared" si="21"/>
        <v>0</v>
      </c>
      <c r="U183">
        <v>10205.799999999999</v>
      </c>
      <c r="V183">
        <f t="shared" si="22"/>
        <v>10205.799999999999</v>
      </c>
      <c r="W183" s="6">
        <f t="shared" si="23"/>
        <v>0</v>
      </c>
      <c r="X183">
        <v>5986.31</v>
      </c>
      <c r="Y183">
        <v>4219.49</v>
      </c>
      <c r="Z183">
        <f t="shared" si="24"/>
        <v>4219.4899999999989</v>
      </c>
      <c r="AA183" s="6">
        <f t="shared" si="25"/>
        <v>0</v>
      </c>
      <c r="AB183">
        <f t="shared" si="26"/>
        <v>0.41344039663720622</v>
      </c>
      <c r="AC183" t="s">
        <v>32</v>
      </c>
      <c r="AD183" t="s">
        <v>33</v>
      </c>
      <c r="AE183" t="s">
        <v>2828</v>
      </c>
    </row>
    <row r="184" spans="1:32">
      <c r="A184" t="s">
        <v>654</v>
      </c>
      <c r="B184" s="3">
        <v>45581</v>
      </c>
      <c r="C184" t="str">
        <f t="shared" si="19"/>
        <v>October</v>
      </c>
      <c r="D184">
        <f t="shared" si="20"/>
        <v>2024</v>
      </c>
      <c r="E184" s="3">
        <v>45581</v>
      </c>
      <c r="F184">
        <f t="shared" si="18"/>
        <v>0</v>
      </c>
      <c r="G184" t="s">
        <v>655</v>
      </c>
      <c r="H184" t="s">
        <v>62</v>
      </c>
      <c r="I184" t="s">
        <v>95</v>
      </c>
      <c r="J184" t="s">
        <v>38</v>
      </c>
      <c r="K184" t="s">
        <v>145</v>
      </c>
      <c r="L184" t="s">
        <v>146</v>
      </c>
      <c r="M184" t="s">
        <v>74</v>
      </c>
      <c r="N184" t="s">
        <v>274</v>
      </c>
      <c r="O184" t="s">
        <v>656</v>
      </c>
      <c r="P184" t="s">
        <v>59</v>
      </c>
      <c r="Q184">
        <v>7</v>
      </c>
      <c r="R184">
        <v>775.77</v>
      </c>
      <c r="S184" s="6">
        <v>0</v>
      </c>
      <c r="T184" s="6">
        <f t="shared" si="21"/>
        <v>0</v>
      </c>
      <c r="U184">
        <v>5430.39</v>
      </c>
      <c r="V184">
        <f t="shared" si="22"/>
        <v>5430.3899999999994</v>
      </c>
      <c r="W184" s="6">
        <f t="shared" si="23"/>
        <v>0</v>
      </c>
      <c r="X184">
        <v>3707.66</v>
      </c>
      <c r="Y184">
        <v>1722.73</v>
      </c>
      <c r="Z184">
        <f t="shared" si="24"/>
        <v>1722.7299999999996</v>
      </c>
      <c r="AA184" s="6">
        <f t="shared" si="25"/>
        <v>0</v>
      </c>
      <c r="AB184">
        <f t="shared" si="26"/>
        <v>0.31723872502711586</v>
      </c>
      <c r="AC184" t="s">
        <v>32</v>
      </c>
      <c r="AD184" t="s">
        <v>33</v>
      </c>
      <c r="AE184" t="s">
        <v>2828</v>
      </c>
    </row>
    <row r="185" spans="1:32">
      <c r="A185" t="s">
        <v>657</v>
      </c>
      <c r="B185" s="3">
        <v>45832</v>
      </c>
      <c r="C185" t="str">
        <f t="shared" si="19"/>
        <v>June</v>
      </c>
      <c r="D185">
        <f t="shared" si="20"/>
        <v>2025</v>
      </c>
      <c r="E185" s="3">
        <v>45835</v>
      </c>
      <c r="F185">
        <f t="shared" si="18"/>
        <v>3</v>
      </c>
      <c r="G185" t="s">
        <v>658</v>
      </c>
      <c r="H185" t="s">
        <v>71</v>
      </c>
      <c r="I185" t="s">
        <v>95</v>
      </c>
      <c r="J185" t="s">
        <v>54</v>
      </c>
      <c r="K185" t="s">
        <v>55</v>
      </c>
      <c r="L185" t="s">
        <v>56</v>
      </c>
      <c r="M185" t="s">
        <v>74</v>
      </c>
      <c r="N185" t="s">
        <v>80</v>
      </c>
      <c r="O185" t="s">
        <v>659</v>
      </c>
      <c r="P185" t="s">
        <v>59</v>
      </c>
      <c r="Q185">
        <v>7</v>
      </c>
      <c r="R185">
        <v>2304.86</v>
      </c>
      <c r="S185" s="6">
        <v>0.2</v>
      </c>
      <c r="T185" s="6">
        <f t="shared" si="21"/>
        <v>0.2</v>
      </c>
      <c r="U185">
        <v>12907.22</v>
      </c>
      <c r="V185">
        <f t="shared" si="22"/>
        <v>12907.216</v>
      </c>
      <c r="W185" s="6">
        <f t="shared" si="23"/>
        <v>-3.9999999989959178E-3</v>
      </c>
      <c r="X185">
        <v>8327.89</v>
      </c>
      <c r="Y185">
        <v>4579.33</v>
      </c>
      <c r="Z185">
        <f t="shared" si="24"/>
        <v>4579.3260000000009</v>
      </c>
      <c r="AA185" s="6">
        <f t="shared" si="25"/>
        <v>-3.9999999989959178E-3</v>
      </c>
      <c r="AB185">
        <f t="shared" si="26"/>
        <v>0.3547880503433119</v>
      </c>
      <c r="AC185" t="s">
        <v>32</v>
      </c>
      <c r="AD185" t="s">
        <v>103</v>
      </c>
      <c r="AE185" t="s">
        <v>2827</v>
      </c>
      <c r="AF185" t="s">
        <v>103</v>
      </c>
    </row>
    <row r="186" spans="1:32">
      <c r="A186" t="s">
        <v>660</v>
      </c>
      <c r="B186" s="3">
        <v>45326</v>
      </c>
      <c r="C186" t="str">
        <f t="shared" si="19"/>
        <v>February</v>
      </c>
      <c r="D186">
        <f t="shared" si="20"/>
        <v>2024</v>
      </c>
      <c r="E186" s="3">
        <v>45447</v>
      </c>
      <c r="F186">
        <f t="shared" si="18"/>
        <v>121</v>
      </c>
      <c r="G186" t="s">
        <v>661</v>
      </c>
      <c r="H186" t="s">
        <v>71</v>
      </c>
      <c r="I186" t="s">
        <v>90</v>
      </c>
      <c r="J186" t="s">
        <v>63</v>
      </c>
      <c r="K186" t="s">
        <v>72</v>
      </c>
      <c r="L186" t="s">
        <v>73</v>
      </c>
      <c r="M186" t="s">
        <v>41</v>
      </c>
      <c r="N186" t="s">
        <v>158</v>
      </c>
      <c r="O186" t="s">
        <v>662</v>
      </c>
      <c r="P186" t="s">
        <v>59</v>
      </c>
      <c r="Q186">
        <v>2</v>
      </c>
      <c r="R186">
        <v>888.98</v>
      </c>
      <c r="S186" s="6">
        <v>0</v>
      </c>
      <c r="T186" s="6">
        <f t="shared" si="21"/>
        <v>0</v>
      </c>
      <c r="U186">
        <v>1777.96</v>
      </c>
      <c r="V186">
        <f t="shared" si="22"/>
        <v>1777.96</v>
      </c>
      <c r="W186" s="6">
        <f t="shared" si="23"/>
        <v>0</v>
      </c>
      <c r="X186">
        <v>1021.16</v>
      </c>
      <c r="Y186">
        <v>756.8</v>
      </c>
      <c r="Z186">
        <f t="shared" si="24"/>
        <v>756.80000000000007</v>
      </c>
      <c r="AA186" s="6">
        <f t="shared" si="25"/>
        <v>0</v>
      </c>
      <c r="AB186">
        <f t="shared" si="26"/>
        <v>0.42565637022205227</v>
      </c>
      <c r="AC186" t="s">
        <v>102</v>
      </c>
      <c r="AD186" t="s">
        <v>103</v>
      </c>
      <c r="AE186" t="s">
        <v>2827</v>
      </c>
      <c r="AF186" t="s">
        <v>2807</v>
      </c>
    </row>
    <row r="187" spans="1:32">
      <c r="A187" t="s">
        <v>663</v>
      </c>
      <c r="B187" s="3">
        <v>45601</v>
      </c>
      <c r="C187" t="str">
        <f t="shared" si="19"/>
        <v>November</v>
      </c>
      <c r="D187">
        <f t="shared" si="20"/>
        <v>2024</v>
      </c>
      <c r="E187" s="3">
        <v>45609</v>
      </c>
      <c r="F187">
        <f t="shared" si="18"/>
        <v>8</v>
      </c>
      <c r="G187" t="s">
        <v>664</v>
      </c>
      <c r="H187" t="s">
        <v>53</v>
      </c>
      <c r="I187" t="s">
        <v>24</v>
      </c>
      <c r="J187" t="s">
        <v>2781</v>
      </c>
      <c r="K187" t="s">
        <v>122</v>
      </c>
      <c r="L187" t="s">
        <v>123</v>
      </c>
      <c r="M187" t="s">
        <v>28</v>
      </c>
      <c r="N187" t="s">
        <v>91</v>
      </c>
      <c r="O187" t="s">
        <v>665</v>
      </c>
      <c r="P187" t="s">
        <v>31</v>
      </c>
      <c r="Q187">
        <v>2</v>
      </c>
      <c r="R187">
        <v>1003.17</v>
      </c>
      <c r="S187" s="6">
        <v>0.2</v>
      </c>
      <c r="T187" s="6">
        <f t="shared" si="21"/>
        <v>0.2</v>
      </c>
      <c r="U187">
        <v>1605.07</v>
      </c>
      <c r="V187">
        <f t="shared" si="22"/>
        <v>1605.0720000000001</v>
      </c>
      <c r="W187" s="6">
        <f t="shared" si="23"/>
        <v>2.00000000018008E-3</v>
      </c>
      <c r="X187">
        <v>1337.28</v>
      </c>
      <c r="Y187">
        <v>267.79000000000002</v>
      </c>
      <c r="Z187">
        <f t="shared" si="24"/>
        <v>267.79200000000014</v>
      </c>
      <c r="AA187" s="6">
        <f t="shared" si="25"/>
        <v>2.0000000001232365E-3</v>
      </c>
      <c r="AB187">
        <f t="shared" si="26"/>
        <v>0.16684111366966722</v>
      </c>
      <c r="AC187" t="s">
        <v>32</v>
      </c>
      <c r="AD187" t="s">
        <v>33</v>
      </c>
      <c r="AE187" t="s">
        <v>2828</v>
      </c>
    </row>
    <row r="188" spans="1:32">
      <c r="A188" t="s">
        <v>666</v>
      </c>
      <c r="B188" s="3">
        <v>45492</v>
      </c>
      <c r="C188" t="str">
        <f t="shared" si="19"/>
        <v>July</v>
      </c>
      <c r="D188">
        <f t="shared" si="20"/>
        <v>2024</v>
      </c>
      <c r="E188" s="3">
        <v>45493</v>
      </c>
      <c r="F188">
        <f t="shared" si="18"/>
        <v>1</v>
      </c>
      <c r="G188" t="s">
        <v>263</v>
      </c>
      <c r="H188" t="s">
        <v>71</v>
      </c>
      <c r="I188" t="s">
        <v>24</v>
      </c>
      <c r="J188" t="s">
        <v>54</v>
      </c>
      <c r="K188" t="s">
        <v>247</v>
      </c>
      <c r="L188" t="s">
        <v>248</v>
      </c>
      <c r="M188" t="s">
        <v>41</v>
      </c>
      <c r="N188" t="s">
        <v>42</v>
      </c>
      <c r="O188" t="s">
        <v>667</v>
      </c>
      <c r="P188" t="s">
        <v>50</v>
      </c>
      <c r="Q188">
        <v>7</v>
      </c>
      <c r="R188">
        <v>3608.43</v>
      </c>
      <c r="S188" s="6">
        <v>0.05</v>
      </c>
      <c r="T188" s="6">
        <f t="shared" si="21"/>
        <v>0.05</v>
      </c>
      <c r="U188">
        <v>23996.06</v>
      </c>
      <c r="V188">
        <f t="shared" si="22"/>
        <v>23996.059499999996</v>
      </c>
      <c r="W188" s="6">
        <f t="shared" si="23"/>
        <v>-5.0000000555883162E-4</v>
      </c>
      <c r="X188">
        <v>20167.28</v>
      </c>
      <c r="Y188">
        <v>3828.78</v>
      </c>
      <c r="Z188">
        <f t="shared" si="24"/>
        <v>3828.7794999999969</v>
      </c>
      <c r="AA188" s="6">
        <f t="shared" si="25"/>
        <v>-5.0000000328509486E-4</v>
      </c>
      <c r="AB188">
        <f t="shared" si="26"/>
        <v>0.15955867670689838</v>
      </c>
      <c r="AC188" t="s">
        <v>32</v>
      </c>
      <c r="AD188" t="s">
        <v>33</v>
      </c>
      <c r="AE188" t="s">
        <v>2828</v>
      </c>
    </row>
    <row r="189" spans="1:32">
      <c r="A189" t="s">
        <v>668</v>
      </c>
      <c r="B189" s="3">
        <v>45662</v>
      </c>
      <c r="C189" t="str">
        <f t="shared" si="19"/>
        <v>January</v>
      </c>
      <c r="D189">
        <f t="shared" si="20"/>
        <v>2025</v>
      </c>
      <c r="E189" s="3">
        <v>45693</v>
      </c>
      <c r="F189">
        <f t="shared" si="18"/>
        <v>31</v>
      </c>
      <c r="G189" t="s">
        <v>669</v>
      </c>
      <c r="H189" t="s">
        <v>36</v>
      </c>
      <c r="I189" t="s">
        <v>24</v>
      </c>
      <c r="J189" t="s">
        <v>63</v>
      </c>
      <c r="K189" t="s">
        <v>72</v>
      </c>
      <c r="L189" t="s">
        <v>73</v>
      </c>
      <c r="M189" t="s">
        <v>41</v>
      </c>
      <c r="N189" t="s">
        <v>66</v>
      </c>
      <c r="O189" t="s">
        <v>670</v>
      </c>
      <c r="P189" t="s">
        <v>44</v>
      </c>
      <c r="Q189">
        <v>3</v>
      </c>
      <c r="R189">
        <v>2905.74</v>
      </c>
      <c r="S189" s="6">
        <v>0</v>
      </c>
      <c r="T189" s="6">
        <f t="shared" si="21"/>
        <v>0</v>
      </c>
      <c r="U189">
        <v>8717.2199999999993</v>
      </c>
      <c r="V189">
        <f t="shared" si="22"/>
        <v>8717.2199999999993</v>
      </c>
      <c r="W189" s="6">
        <f t="shared" si="23"/>
        <v>0</v>
      </c>
      <c r="X189">
        <v>6215.96</v>
      </c>
      <c r="Y189">
        <v>2501.2600000000002</v>
      </c>
      <c r="Z189">
        <f t="shared" si="24"/>
        <v>2501.2599999999993</v>
      </c>
      <c r="AA189" s="6">
        <f t="shared" si="25"/>
        <v>0</v>
      </c>
      <c r="AB189">
        <f t="shared" si="26"/>
        <v>0.28693321953558582</v>
      </c>
      <c r="AC189" t="s">
        <v>32</v>
      </c>
      <c r="AD189" t="s">
        <v>103</v>
      </c>
      <c r="AE189" t="s">
        <v>2827</v>
      </c>
      <c r="AF189" t="s">
        <v>103</v>
      </c>
    </row>
    <row r="190" spans="1:32">
      <c r="A190" t="s">
        <v>671</v>
      </c>
      <c r="B190" s="3">
        <v>45798</v>
      </c>
      <c r="C190" t="str">
        <f t="shared" si="19"/>
        <v>May</v>
      </c>
      <c r="D190">
        <f t="shared" si="20"/>
        <v>2025</v>
      </c>
      <c r="E190" s="3">
        <v>45805</v>
      </c>
      <c r="F190">
        <f t="shared" si="18"/>
        <v>7</v>
      </c>
      <c r="G190" t="s">
        <v>672</v>
      </c>
      <c r="H190" t="s">
        <v>114</v>
      </c>
      <c r="I190" t="s">
        <v>90</v>
      </c>
      <c r="J190" t="s">
        <v>38</v>
      </c>
      <c r="K190" t="s">
        <v>99</v>
      </c>
      <c r="L190" t="s">
        <v>100</v>
      </c>
      <c r="M190" t="s">
        <v>41</v>
      </c>
      <c r="N190" t="s">
        <v>158</v>
      </c>
      <c r="O190" t="s">
        <v>673</v>
      </c>
      <c r="P190" t="s">
        <v>44</v>
      </c>
      <c r="Q190">
        <v>2</v>
      </c>
      <c r="R190">
        <v>3559.57</v>
      </c>
      <c r="S190" s="6">
        <v>0.1</v>
      </c>
      <c r="T190" s="6">
        <f t="shared" si="21"/>
        <v>0.1</v>
      </c>
      <c r="U190">
        <v>6553.95</v>
      </c>
      <c r="V190">
        <f t="shared" si="22"/>
        <v>6407.2260000000006</v>
      </c>
      <c r="W190" s="6">
        <f t="shared" si="23"/>
        <v>-146.72399999999925</v>
      </c>
      <c r="X190">
        <v>4923.09</v>
      </c>
      <c r="Y190">
        <v>1484.14</v>
      </c>
      <c r="Z190">
        <f t="shared" si="24"/>
        <v>1484.1360000000004</v>
      </c>
      <c r="AA190" s="6">
        <f t="shared" si="25"/>
        <v>-3.9999999996780389E-3</v>
      </c>
      <c r="AB190">
        <f t="shared" si="26"/>
        <v>0.23163471992403581</v>
      </c>
      <c r="AC190" t="s">
        <v>32</v>
      </c>
      <c r="AD190" t="s">
        <v>33</v>
      </c>
      <c r="AE190" t="s">
        <v>2828</v>
      </c>
    </row>
    <row r="191" spans="1:32">
      <c r="A191" t="s">
        <v>674</v>
      </c>
      <c r="B191" s="3">
        <v>45813</v>
      </c>
      <c r="C191" t="str">
        <f t="shared" si="19"/>
        <v>June</v>
      </c>
      <c r="D191">
        <f t="shared" si="20"/>
        <v>2025</v>
      </c>
      <c r="E191" s="3">
        <v>45843</v>
      </c>
      <c r="F191">
        <f t="shared" si="18"/>
        <v>30</v>
      </c>
      <c r="G191" t="s">
        <v>675</v>
      </c>
      <c r="H191" t="s">
        <v>53</v>
      </c>
      <c r="I191" t="s">
        <v>24</v>
      </c>
      <c r="J191" t="s">
        <v>63</v>
      </c>
      <c r="K191" t="s">
        <v>26</v>
      </c>
      <c r="L191" t="s">
        <v>109</v>
      </c>
      <c r="M191" t="s">
        <v>41</v>
      </c>
      <c r="N191" t="s">
        <v>158</v>
      </c>
      <c r="O191" t="s">
        <v>676</v>
      </c>
      <c r="P191" t="s">
        <v>50</v>
      </c>
      <c r="Q191">
        <v>9</v>
      </c>
      <c r="R191">
        <v>3318.24</v>
      </c>
      <c r="S191" s="6">
        <v>0</v>
      </c>
      <c r="T191" s="6">
        <f t="shared" si="21"/>
        <v>0</v>
      </c>
      <c r="U191">
        <v>25384.54</v>
      </c>
      <c r="V191">
        <f t="shared" si="22"/>
        <v>29864.159999999996</v>
      </c>
      <c r="W191" s="6">
        <f t="shared" si="23"/>
        <v>4479.6199999999953</v>
      </c>
      <c r="X191">
        <v>16872.39</v>
      </c>
      <c r="Y191">
        <v>8512.15</v>
      </c>
      <c r="Z191">
        <f t="shared" si="24"/>
        <v>12991.769999999997</v>
      </c>
      <c r="AA191" s="6">
        <f t="shared" si="25"/>
        <v>4479.6199999999972</v>
      </c>
      <c r="AB191">
        <f t="shared" si="26"/>
        <v>0.43502881045373448</v>
      </c>
      <c r="AC191" t="s">
        <v>32</v>
      </c>
      <c r="AD191" t="s">
        <v>33</v>
      </c>
      <c r="AE191" t="s">
        <v>2828</v>
      </c>
    </row>
    <row r="192" spans="1:32">
      <c r="A192" t="s">
        <v>677</v>
      </c>
      <c r="B192" s="3">
        <v>45767</v>
      </c>
      <c r="C192" t="str">
        <f t="shared" si="19"/>
        <v>April</v>
      </c>
      <c r="D192">
        <f t="shared" si="20"/>
        <v>2025</v>
      </c>
      <c r="E192" s="3">
        <v>45768</v>
      </c>
      <c r="F192">
        <f t="shared" si="18"/>
        <v>1</v>
      </c>
      <c r="G192" t="s">
        <v>678</v>
      </c>
      <c r="H192" t="s">
        <v>89</v>
      </c>
      <c r="I192" t="s">
        <v>24</v>
      </c>
      <c r="J192" t="s">
        <v>54</v>
      </c>
      <c r="K192" t="s">
        <v>247</v>
      </c>
      <c r="L192" t="s">
        <v>248</v>
      </c>
      <c r="M192" t="s">
        <v>28</v>
      </c>
      <c r="N192" t="s">
        <v>124</v>
      </c>
      <c r="O192" t="s">
        <v>679</v>
      </c>
      <c r="P192" t="s">
        <v>50</v>
      </c>
      <c r="Q192">
        <v>3</v>
      </c>
      <c r="R192">
        <v>540.09</v>
      </c>
      <c r="S192" s="6">
        <v>0.1</v>
      </c>
      <c r="T192" s="6">
        <f t="shared" si="21"/>
        <v>0.1</v>
      </c>
      <c r="U192">
        <v>1458.24</v>
      </c>
      <c r="V192">
        <f t="shared" si="22"/>
        <v>1458.2429999999999</v>
      </c>
      <c r="W192" s="6">
        <f t="shared" si="23"/>
        <v>2.9999999999290594E-3</v>
      </c>
      <c r="X192">
        <v>943.32</v>
      </c>
      <c r="Y192">
        <v>514.91999999999996</v>
      </c>
      <c r="Z192">
        <f t="shared" si="24"/>
        <v>514.92299999999989</v>
      </c>
      <c r="AA192" s="6">
        <f t="shared" si="25"/>
        <v>2.9999999999290594E-3</v>
      </c>
      <c r="AB192">
        <f t="shared" si="26"/>
        <v>0.35311192990468659</v>
      </c>
      <c r="AC192" t="s">
        <v>32</v>
      </c>
      <c r="AD192" t="s">
        <v>33</v>
      </c>
      <c r="AE192" t="s">
        <v>2828</v>
      </c>
    </row>
    <row r="193" spans="1:32">
      <c r="A193" t="s">
        <v>680</v>
      </c>
      <c r="B193" s="3">
        <v>45584</v>
      </c>
      <c r="C193" t="str">
        <f t="shared" si="19"/>
        <v>October</v>
      </c>
      <c r="D193">
        <f t="shared" si="20"/>
        <v>2024</v>
      </c>
      <c r="E193" s="3">
        <v>45589</v>
      </c>
      <c r="F193">
        <f t="shared" si="18"/>
        <v>5</v>
      </c>
      <c r="G193" t="s">
        <v>681</v>
      </c>
      <c r="H193" t="s">
        <v>132</v>
      </c>
      <c r="I193" t="s">
        <v>37</v>
      </c>
      <c r="J193" t="s">
        <v>54</v>
      </c>
      <c r="K193" t="s">
        <v>247</v>
      </c>
      <c r="L193" t="s">
        <v>248</v>
      </c>
      <c r="M193" t="s">
        <v>41</v>
      </c>
      <c r="N193" t="s">
        <v>158</v>
      </c>
      <c r="O193" t="s">
        <v>682</v>
      </c>
      <c r="P193" t="s">
        <v>31</v>
      </c>
      <c r="Q193">
        <v>6</v>
      </c>
      <c r="R193">
        <v>4308.3999999999996</v>
      </c>
      <c r="S193" s="6">
        <v>0.65</v>
      </c>
      <c r="T193" s="6">
        <f t="shared" si="21"/>
        <v>0.65</v>
      </c>
      <c r="U193">
        <v>25850.400000000001</v>
      </c>
      <c r="V193">
        <f t="shared" si="22"/>
        <v>9047.64</v>
      </c>
      <c r="W193" s="6">
        <f t="shared" si="23"/>
        <v>-16802.760000000002</v>
      </c>
      <c r="X193">
        <v>19397.68</v>
      </c>
      <c r="Y193">
        <v>6452.72</v>
      </c>
      <c r="Z193">
        <f t="shared" si="24"/>
        <v>-10350.040000000001</v>
      </c>
      <c r="AA193" s="6">
        <f t="shared" si="25"/>
        <v>-16802.760000000002</v>
      </c>
      <c r="AB193">
        <f t="shared" si="26"/>
        <v>-1.1439491403283069</v>
      </c>
      <c r="AC193" t="s">
        <v>32</v>
      </c>
      <c r="AD193" t="s">
        <v>33</v>
      </c>
      <c r="AE193" t="s">
        <v>2828</v>
      </c>
    </row>
    <row r="194" spans="1:32">
      <c r="A194" t="s">
        <v>683</v>
      </c>
      <c r="B194" s="3">
        <v>45547</v>
      </c>
      <c r="C194" t="str">
        <f t="shared" si="19"/>
        <v>September</v>
      </c>
      <c r="D194">
        <f t="shared" si="20"/>
        <v>2024</v>
      </c>
      <c r="E194" s="3">
        <v>45642</v>
      </c>
      <c r="F194">
        <f t="shared" ref="F194:F257" si="27">E194-B194</f>
        <v>95</v>
      </c>
      <c r="G194" t="s">
        <v>684</v>
      </c>
      <c r="H194" t="s">
        <v>47</v>
      </c>
      <c r="I194" t="s">
        <v>95</v>
      </c>
      <c r="J194" t="s">
        <v>63</v>
      </c>
      <c r="K194" t="s">
        <v>180</v>
      </c>
      <c r="L194" t="s">
        <v>181</v>
      </c>
      <c r="M194" t="s">
        <v>41</v>
      </c>
      <c r="N194" t="s">
        <v>66</v>
      </c>
      <c r="O194" t="s">
        <v>685</v>
      </c>
      <c r="P194" t="s">
        <v>50</v>
      </c>
      <c r="Q194">
        <v>4</v>
      </c>
      <c r="R194">
        <v>2191.0300000000002</v>
      </c>
      <c r="S194" s="6">
        <v>0</v>
      </c>
      <c r="T194" s="6">
        <f t="shared" si="21"/>
        <v>0</v>
      </c>
      <c r="U194">
        <v>8764.1200000000008</v>
      </c>
      <c r="V194">
        <f t="shared" si="22"/>
        <v>8764.1200000000008</v>
      </c>
      <c r="W194" s="6">
        <f t="shared" si="23"/>
        <v>0</v>
      </c>
      <c r="X194">
        <v>7220.05</v>
      </c>
      <c r="Y194">
        <v>1544.07</v>
      </c>
      <c r="Z194">
        <f t="shared" si="24"/>
        <v>1544.0700000000006</v>
      </c>
      <c r="AA194" s="6">
        <f t="shared" si="25"/>
        <v>0</v>
      </c>
      <c r="AB194">
        <f t="shared" si="26"/>
        <v>0.17618083732308554</v>
      </c>
      <c r="AC194" t="s">
        <v>32</v>
      </c>
      <c r="AD194" t="s">
        <v>33</v>
      </c>
      <c r="AE194" t="s">
        <v>2828</v>
      </c>
    </row>
    <row r="195" spans="1:32">
      <c r="A195" t="s">
        <v>686</v>
      </c>
      <c r="B195" s="3">
        <v>45466</v>
      </c>
      <c r="C195" t="str">
        <f t="shared" ref="C195:C258" si="28">TEXT(B195, "mmmm")</f>
        <v>June</v>
      </c>
      <c r="D195">
        <f t="shared" ref="D195:D258" si="29">YEAR(B195)</f>
        <v>2024</v>
      </c>
      <c r="E195" s="3">
        <v>45471</v>
      </c>
      <c r="F195">
        <f t="shared" si="27"/>
        <v>5</v>
      </c>
      <c r="G195" t="s">
        <v>687</v>
      </c>
      <c r="H195" t="s">
        <v>114</v>
      </c>
      <c r="I195" t="s">
        <v>37</v>
      </c>
      <c r="J195" t="s">
        <v>25</v>
      </c>
      <c r="K195" t="s">
        <v>122</v>
      </c>
      <c r="L195" t="s">
        <v>123</v>
      </c>
      <c r="M195" t="s">
        <v>74</v>
      </c>
      <c r="N195" t="s">
        <v>80</v>
      </c>
      <c r="O195" t="s">
        <v>688</v>
      </c>
      <c r="P195" t="s">
        <v>44</v>
      </c>
      <c r="Q195">
        <v>6</v>
      </c>
      <c r="R195">
        <v>1956.63</v>
      </c>
      <c r="S195" s="6">
        <v>0.2</v>
      </c>
      <c r="T195" s="6">
        <f t="shared" ref="T195:T258" si="30">ABS(S195)</f>
        <v>0.2</v>
      </c>
      <c r="U195">
        <v>9391.82</v>
      </c>
      <c r="V195">
        <f t="shared" ref="V195:V258" si="31">Q195*R195*(1-T195)</f>
        <v>9391.8240000000005</v>
      </c>
      <c r="W195" s="6">
        <f t="shared" ref="W195:W258" si="32">V195-U195</f>
        <v>4.0000000008149073E-3</v>
      </c>
      <c r="X195">
        <v>6013.22</v>
      </c>
      <c r="Y195">
        <v>3378.6</v>
      </c>
      <c r="Z195">
        <f t="shared" ref="Z195:Z258" si="33">V195-X195</f>
        <v>3378.6040000000003</v>
      </c>
      <c r="AA195" s="6">
        <f t="shared" ref="AA195:AA258" si="34">Z195-Y195</f>
        <v>4.0000000003601599E-3</v>
      </c>
      <c r="AB195">
        <f t="shared" ref="AB195:AB258" si="35">Z195/V195</f>
        <v>0.35973885370935399</v>
      </c>
      <c r="AC195" t="s">
        <v>102</v>
      </c>
      <c r="AD195" t="s">
        <v>103</v>
      </c>
      <c r="AE195" t="s">
        <v>2827</v>
      </c>
      <c r="AF195" t="s">
        <v>2807</v>
      </c>
    </row>
    <row r="196" spans="1:32">
      <c r="A196" t="s">
        <v>689</v>
      </c>
      <c r="B196" s="3">
        <v>45685</v>
      </c>
      <c r="C196" t="str">
        <f t="shared" si="28"/>
        <v>January</v>
      </c>
      <c r="D196">
        <f t="shared" si="29"/>
        <v>2025</v>
      </c>
      <c r="E196" s="3">
        <v>45688</v>
      </c>
      <c r="F196">
        <f t="shared" si="27"/>
        <v>3</v>
      </c>
      <c r="G196" t="s">
        <v>690</v>
      </c>
      <c r="H196" t="s">
        <v>114</v>
      </c>
      <c r="I196" t="s">
        <v>24</v>
      </c>
      <c r="J196" t="s">
        <v>63</v>
      </c>
      <c r="K196" t="s">
        <v>64</v>
      </c>
      <c r="L196" t="s">
        <v>65</v>
      </c>
      <c r="M196" t="s">
        <v>41</v>
      </c>
      <c r="N196" t="s">
        <v>57</v>
      </c>
      <c r="O196" t="s">
        <v>691</v>
      </c>
      <c r="P196" t="s">
        <v>50</v>
      </c>
      <c r="Q196">
        <v>9</v>
      </c>
      <c r="R196">
        <v>858.39</v>
      </c>
      <c r="S196" s="6">
        <v>0.05</v>
      </c>
      <c r="T196" s="6">
        <f t="shared" si="30"/>
        <v>0.05</v>
      </c>
      <c r="U196">
        <v>7339.23</v>
      </c>
      <c r="V196">
        <f t="shared" si="31"/>
        <v>7339.2344999999996</v>
      </c>
      <c r="W196" s="6">
        <f t="shared" si="32"/>
        <v>4.500000000007276E-3</v>
      </c>
      <c r="X196">
        <v>5434.12</v>
      </c>
      <c r="Y196">
        <v>1905.11</v>
      </c>
      <c r="Z196">
        <f t="shared" si="33"/>
        <v>1905.1144999999997</v>
      </c>
      <c r="AA196" s="6">
        <f t="shared" si="34"/>
        <v>4.4999999997799023E-3</v>
      </c>
      <c r="AB196">
        <f t="shared" si="35"/>
        <v>0.25957945614082772</v>
      </c>
      <c r="AC196" t="s">
        <v>111</v>
      </c>
      <c r="AD196" t="s">
        <v>103</v>
      </c>
      <c r="AE196" t="s">
        <v>2827</v>
      </c>
      <c r="AF196" t="s">
        <v>2814</v>
      </c>
    </row>
    <row r="197" spans="1:32">
      <c r="A197" t="s">
        <v>692</v>
      </c>
      <c r="B197" s="3">
        <v>45860</v>
      </c>
      <c r="C197" t="str">
        <f t="shared" si="28"/>
        <v>July</v>
      </c>
      <c r="D197">
        <f t="shared" si="29"/>
        <v>2025</v>
      </c>
      <c r="E197" s="3">
        <v>45862</v>
      </c>
      <c r="F197">
        <f t="shared" si="27"/>
        <v>2</v>
      </c>
      <c r="G197" t="s">
        <v>693</v>
      </c>
      <c r="H197" t="s">
        <v>79</v>
      </c>
      <c r="I197" t="s">
        <v>95</v>
      </c>
      <c r="J197" t="s">
        <v>54</v>
      </c>
      <c r="K197" t="s">
        <v>84</v>
      </c>
      <c r="L197" t="s">
        <v>85</v>
      </c>
      <c r="M197" t="s">
        <v>41</v>
      </c>
      <c r="N197" t="s">
        <v>57</v>
      </c>
      <c r="O197" t="s">
        <v>694</v>
      </c>
      <c r="P197" t="s">
        <v>44</v>
      </c>
      <c r="Q197">
        <v>5</v>
      </c>
      <c r="R197">
        <v>1922.83</v>
      </c>
      <c r="S197" s="6">
        <v>0</v>
      </c>
      <c r="T197" s="6">
        <f t="shared" si="30"/>
        <v>0</v>
      </c>
      <c r="U197">
        <v>9614.15</v>
      </c>
      <c r="V197">
        <f t="shared" si="31"/>
        <v>9614.15</v>
      </c>
      <c r="W197" s="6">
        <f t="shared" si="32"/>
        <v>0</v>
      </c>
      <c r="X197">
        <v>7576.84</v>
      </c>
      <c r="Y197">
        <v>2037.31</v>
      </c>
      <c r="Z197">
        <f t="shared" si="33"/>
        <v>2037.3099999999995</v>
      </c>
      <c r="AA197" s="6">
        <f t="shared" si="34"/>
        <v>0</v>
      </c>
      <c r="AB197">
        <f t="shared" si="35"/>
        <v>0.21190744891644084</v>
      </c>
      <c r="AC197" t="s">
        <v>32</v>
      </c>
      <c r="AD197" t="s">
        <v>33</v>
      </c>
      <c r="AE197" t="s">
        <v>2828</v>
      </c>
    </row>
    <row r="198" spans="1:32">
      <c r="A198" t="s">
        <v>695</v>
      </c>
      <c r="B198" s="3">
        <v>45313</v>
      </c>
      <c r="C198" t="str">
        <f t="shared" si="28"/>
        <v>January</v>
      </c>
      <c r="D198">
        <f t="shared" si="29"/>
        <v>2024</v>
      </c>
      <c r="E198" s="3">
        <v>45316</v>
      </c>
      <c r="F198">
        <f t="shared" si="27"/>
        <v>3</v>
      </c>
      <c r="G198" t="s">
        <v>696</v>
      </c>
      <c r="H198" t="s">
        <v>264</v>
      </c>
      <c r="I198" t="s">
        <v>95</v>
      </c>
      <c r="J198" t="s">
        <v>25</v>
      </c>
      <c r="K198" t="s">
        <v>136</v>
      </c>
      <c r="L198" t="s">
        <v>137</v>
      </c>
      <c r="M198" t="s">
        <v>28</v>
      </c>
      <c r="N198" t="s">
        <v>124</v>
      </c>
      <c r="O198" t="s">
        <v>697</v>
      </c>
      <c r="P198" t="s">
        <v>50</v>
      </c>
      <c r="Q198">
        <v>3</v>
      </c>
      <c r="R198">
        <v>1212.03</v>
      </c>
      <c r="S198" s="6">
        <v>0.1</v>
      </c>
      <c r="T198" s="6">
        <f t="shared" si="30"/>
        <v>0.1</v>
      </c>
      <c r="U198">
        <v>3272.48</v>
      </c>
      <c r="V198">
        <f t="shared" si="31"/>
        <v>3272.4810000000002</v>
      </c>
      <c r="W198" s="6">
        <f t="shared" si="32"/>
        <v>1.0000000002037268E-3</v>
      </c>
      <c r="X198">
        <v>2517.44</v>
      </c>
      <c r="Y198">
        <v>755.04</v>
      </c>
      <c r="Z198">
        <f t="shared" si="33"/>
        <v>755.04100000000017</v>
      </c>
      <c r="AA198" s="6">
        <f t="shared" si="34"/>
        <v>1.0000000002037268E-3</v>
      </c>
      <c r="AB198">
        <f t="shared" si="35"/>
        <v>0.23072433422837293</v>
      </c>
      <c r="AC198" t="s">
        <v>32</v>
      </c>
      <c r="AD198" t="s">
        <v>33</v>
      </c>
      <c r="AE198" t="s">
        <v>2828</v>
      </c>
    </row>
    <row r="199" spans="1:32">
      <c r="A199" t="s">
        <v>698</v>
      </c>
      <c r="B199" s="3">
        <v>45747</v>
      </c>
      <c r="C199" t="str">
        <f t="shared" si="28"/>
        <v>March</v>
      </c>
      <c r="D199">
        <f t="shared" si="29"/>
        <v>2025</v>
      </c>
      <c r="E199" s="3">
        <v>45842</v>
      </c>
      <c r="F199">
        <f t="shared" si="27"/>
        <v>95</v>
      </c>
      <c r="G199" t="s">
        <v>390</v>
      </c>
      <c r="H199" t="s">
        <v>118</v>
      </c>
      <c r="I199" t="s">
        <v>37</v>
      </c>
      <c r="J199" t="s">
        <v>38</v>
      </c>
      <c r="K199" t="s">
        <v>145</v>
      </c>
      <c r="L199" t="s">
        <v>146</v>
      </c>
      <c r="M199" t="s">
        <v>28</v>
      </c>
      <c r="N199" t="s">
        <v>124</v>
      </c>
      <c r="O199" t="s">
        <v>699</v>
      </c>
      <c r="P199" t="s">
        <v>31</v>
      </c>
      <c r="Q199">
        <v>5</v>
      </c>
      <c r="R199">
        <v>4096.4399999999996</v>
      </c>
      <c r="S199" s="6">
        <v>0.15</v>
      </c>
      <c r="T199" s="6">
        <f t="shared" si="30"/>
        <v>0.15</v>
      </c>
      <c r="U199">
        <v>17409.87</v>
      </c>
      <c r="V199">
        <f t="shared" si="31"/>
        <v>17409.869999999995</v>
      </c>
      <c r="W199" s="6">
        <f t="shared" si="32"/>
        <v>0</v>
      </c>
      <c r="X199">
        <v>14076.25</v>
      </c>
      <c r="Y199">
        <v>3333.62</v>
      </c>
      <c r="Z199">
        <f t="shared" si="33"/>
        <v>3333.6199999999953</v>
      </c>
      <c r="AA199" s="6">
        <f t="shared" si="34"/>
        <v>-4.5474735088646412E-12</v>
      </c>
      <c r="AB199">
        <f t="shared" si="35"/>
        <v>0.19147874165631312</v>
      </c>
      <c r="AC199" t="s">
        <v>32</v>
      </c>
      <c r="AD199" t="s">
        <v>33</v>
      </c>
      <c r="AE199" t="s">
        <v>2828</v>
      </c>
    </row>
    <row r="200" spans="1:32">
      <c r="A200" t="s">
        <v>700</v>
      </c>
      <c r="B200" s="3">
        <v>45418</v>
      </c>
      <c r="C200" t="str">
        <f t="shared" si="28"/>
        <v>May</v>
      </c>
      <c r="D200">
        <f t="shared" si="29"/>
        <v>2024</v>
      </c>
      <c r="E200" s="3">
        <v>45449</v>
      </c>
      <c r="F200">
        <f t="shared" si="27"/>
        <v>31</v>
      </c>
      <c r="G200" t="s">
        <v>701</v>
      </c>
      <c r="H200" t="s">
        <v>132</v>
      </c>
      <c r="I200" t="s">
        <v>24</v>
      </c>
      <c r="J200" t="s">
        <v>63</v>
      </c>
      <c r="K200" t="s">
        <v>180</v>
      </c>
      <c r="L200" t="s">
        <v>181</v>
      </c>
      <c r="M200" t="s">
        <v>28</v>
      </c>
      <c r="N200" t="s">
        <v>48</v>
      </c>
      <c r="O200" t="s">
        <v>702</v>
      </c>
      <c r="P200" t="s">
        <v>31</v>
      </c>
      <c r="Q200">
        <v>1</v>
      </c>
      <c r="R200">
        <v>1184.58</v>
      </c>
      <c r="S200" s="6">
        <v>0.05</v>
      </c>
      <c r="T200" s="6">
        <f t="shared" si="30"/>
        <v>0.05</v>
      </c>
      <c r="U200">
        <v>1125.3499999999999</v>
      </c>
      <c r="V200">
        <f t="shared" si="31"/>
        <v>1125.3509999999999</v>
      </c>
      <c r="W200" s="6">
        <f t="shared" si="32"/>
        <v>9.9999999997635314E-4</v>
      </c>
      <c r="X200">
        <v>676.97</v>
      </c>
      <c r="Y200">
        <v>448.38</v>
      </c>
      <c r="Z200">
        <f t="shared" si="33"/>
        <v>448.38099999999986</v>
      </c>
      <c r="AA200" s="6">
        <f t="shared" si="34"/>
        <v>9.999999998626663E-4</v>
      </c>
      <c r="AB200">
        <f t="shared" si="35"/>
        <v>0.39843657667696558</v>
      </c>
      <c r="AC200" t="s">
        <v>155</v>
      </c>
      <c r="AD200" t="s">
        <v>68</v>
      </c>
      <c r="AE200" t="s">
        <v>2827</v>
      </c>
      <c r="AF200" s="10" t="s">
        <v>2796</v>
      </c>
    </row>
    <row r="201" spans="1:32">
      <c r="A201" t="s">
        <v>703</v>
      </c>
      <c r="B201" s="3">
        <v>45363</v>
      </c>
      <c r="C201" t="str">
        <f t="shared" si="28"/>
        <v>March</v>
      </c>
      <c r="D201">
        <f t="shared" si="29"/>
        <v>2024</v>
      </c>
      <c r="E201" s="3">
        <v>45629</v>
      </c>
      <c r="F201">
        <f t="shared" si="27"/>
        <v>266</v>
      </c>
      <c r="G201" t="s">
        <v>704</v>
      </c>
      <c r="H201" t="s">
        <v>118</v>
      </c>
      <c r="I201" t="s">
        <v>95</v>
      </c>
      <c r="J201" t="s">
        <v>38</v>
      </c>
      <c r="K201" t="s">
        <v>145</v>
      </c>
      <c r="L201" t="s">
        <v>146</v>
      </c>
      <c r="M201" t="s">
        <v>74</v>
      </c>
      <c r="N201" t="s">
        <v>274</v>
      </c>
      <c r="O201" t="s">
        <v>705</v>
      </c>
      <c r="P201" t="s">
        <v>2781</v>
      </c>
      <c r="Q201">
        <v>6</v>
      </c>
      <c r="R201">
        <v>2185.58</v>
      </c>
      <c r="S201" s="6">
        <v>0.25</v>
      </c>
      <c r="T201" s="6">
        <f t="shared" si="30"/>
        <v>0.25</v>
      </c>
      <c r="U201">
        <v>9835.11</v>
      </c>
      <c r="V201">
        <f t="shared" si="31"/>
        <v>9835.11</v>
      </c>
      <c r="W201" s="6">
        <f t="shared" si="32"/>
        <v>0</v>
      </c>
      <c r="X201">
        <v>5437.64</v>
      </c>
      <c r="Y201">
        <v>4397.47</v>
      </c>
      <c r="Z201">
        <f t="shared" si="33"/>
        <v>4397.47</v>
      </c>
      <c r="AA201" s="6">
        <f t="shared" si="34"/>
        <v>0</v>
      </c>
      <c r="AB201">
        <f t="shared" si="35"/>
        <v>0.44711955433136996</v>
      </c>
      <c r="AC201" t="s">
        <v>32</v>
      </c>
      <c r="AD201" t="s">
        <v>33</v>
      </c>
      <c r="AE201" t="s">
        <v>2827</v>
      </c>
      <c r="AF201" t="s">
        <v>2829</v>
      </c>
    </row>
    <row r="202" spans="1:32">
      <c r="A202" t="s">
        <v>706</v>
      </c>
      <c r="B202" s="3">
        <v>45835</v>
      </c>
      <c r="C202" t="str">
        <f t="shared" si="28"/>
        <v>June</v>
      </c>
      <c r="D202">
        <f t="shared" si="29"/>
        <v>2025</v>
      </c>
      <c r="E202" s="3">
        <v>45784</v>
      </c>
      <c r="F202">
        <f t="shared" si="27"/>
        <v>-51</v>
      </c>
      <c r="G202" t="s">
        <v>707</v>
      </c>
      <c r="H202" t="s">
        <v>114</v>
      </c>
      <c r="I202" t="s">
        <v>37</v>
      </c>
      <c r="J202" t="s">
        <v>25</v>
      </c>
      <c r="K202" t="s">
        <v>26</v>
      </c>
      <c r="L202" t="s">
        <v>27</v>
      </c>
      <c r="M202" t="s">
        <v>74</v>
      </c>
      <c r="N202" t="s">
        <v>80</v>
      </c>
      <c r="O202" t="s">
        <v>708</v>
      </c>
      <c r="P202" t="s">
        <v>50</v>
      </c>
      <c r="Q202">
        <v>5</v>
      </c>
      <c r="R202">
        <v>2868.44</v>
      </c>
      <c r="S202" s="6">
        <v>0.1</v>
      </c>
      <c r="T202" s="6">
        <f t="shared" si="30"/>
        <v>0.1</v>
      </c>
      <c r="U202">
        <v>12907.98</v>
      </c>
      <c r="V202">
        <f t="shared" si="31"/>
        <v>12907.980000000001</v>
      </c>
      <c r="W202" s="6">
        <f t="shared" si="32"/>
        <v>0</v>
      </c>
      <c r="X202">
        <v>9197.08</v>
      </c>
      <c r="Y202">
        <v>3710.9</v>
      </c>
      <c r="Z202">
        <f t="shared" si="33"/>
        <v>3710.9000000000015</v>
      </c>
      <c r="AA202" s="6">
        <f t="shared" si="34"/>
        <v>0</v>
      </c>
      <c r="AB202">
        <f t="shared" si="35"/>
        <v>0.28748882474252369</v>
      </c>
      <c r="AC202" t="s">
        <v>111</v>
      </c>
      <c r="AD202" t="s">
        <v>68</v>
      </c>
      <c r="AE202" t="s">
        <v>2826</v>
      </c>
      <c r="AF202" s="10" t="s">
        <v>2806</v>
      </c>
    </row>
    <row r="203" spans="1:32">
      <c r="A203" t="s">
        <v>709</v>
      </c>
      <c r="B203" s="3">
        <v>45864</v>
      </c>
      <c r="C203" t="str">
        <f t="shared" si="28"/>
        <v>July</v>
      </c>
      <c r="D203">
        <f t="shared" si="29"/>
        <v>2025</v>
      </c>
      <c r="E203" s="3">
        <v>45872</v>
      </c>
      <c r="F203">
        <f t="shared" si="27"/>
        <v>8</v>
      </c>
      <c r="G203" t="s">
        <v>710</v>
      </c>
      <c r="H203" t="s">
        <v>71</v>
      </c>
      <c r="I203" t="s">
        <v>24</v>
      </c>
      <c r="J203" t="s">
        <v>63</v>
      </c>
      <c r="K203" t="s">
        <v>72</v>
      </c>
      <c r="L203" t="s">
        <v>73</v>
      </c>
      <c r="M203" t="s">
        <v>28</v>
      </c>
      <c r="N203" t="s">
        <v>91</v>
      </c>
      <c r="O203" t="s">
        <v>711</v>
      </c>
      <c r="P203" t="s">
        <v>31</v>
      </c>
      <c r="Q203">
        <v>2</v>
      </c>
      <c r="R203">
        <v>2503.5300000000002</v>
      </c>
      <c r="S203" s="6">
        <v>-0.16</v>
      </c>
      <c r="T203" s="6">
        <f t="shared" si="30"/>
        <v>0.16</v>
      </c>
      <c r="U203">
        <v>4756.71</v>
      </c>
      <c r="V203">
        <f t="shared" si="31"/>
        <v>4205.9304000000002</v>
      </c>
      <c r="W203" s="6">
        <f t="shared" si="32"/>
        <v>-550.77959999999985</v>
      </c>
      <c r="X203">
        <v>2954.86</v>
      </c>
      <c r="Y203">
        <v>1801.85</v>
      </c>
      <c r="Z203">
        <f t="shared" si="33"/>
        <v>1251.0704000000001</v>
      </c>
      <c r="AA203" s="6">
        <f t="shared" si="34"/>
        <v>-550.77959999999985</v>
      </c>
      <c r="AB203">
        <f t="shared" si="35"/>
        <v>0.29745389985530907</v>
      </c>
      <c r="AC203" t="s">
        <v>102</v>
      </c>
      <c r="AD203" t="s">
        <v>68</v>
      </c>
      <c r="AE203" t="s">
        <v>2826</v>
      </c>
      <c r="AF203" s="10" t="s">
        <v>2811</v>
      </c>
    </row>
    <row r="204" spans="1:32">
      <c r="A204" t="s">
        <v>712</v>
      </c>
      <c r="B204" s="3">
        <v>45744</v>
      </c>
      <c r="C204" t="str">
        <f t="shared" si="28"/>
        <v>March</v>
      </c>
      <c r="D204">
        <f t="shared" si="29"/>
        <v>2025</v>
      </c>
      <c r="E204" s="3">
        <v>45744</v>
      </c>
      <c r="F204">
        <f t="shared" si="27"/>
        <v>0</v>
      </c>
      <c r="G204" t="s">
        <v>713</v>
      </c>
      <c r="H204" t="s">
        <v>132</v>
      </c>
      <c r="I204" t="s">
        <v>90</v>
      </c>
      <c r="J204" t="s">
        <v>63</v>
      </c>
      <c r="K204" t="s">
        <v>190</v>
      </c>
      <c r="L204" t="s">
        <v>191</v>
      </c>
      <c r="M204" t="s">
        <v>74</v>
      </c>
      <c r="N204" t="s">
        <v>75</v>
      </c>
      <c r="O204" t="s">
        <v>714</v>
      </c>
      <c r="P204" t="s">
        <v>59</v>
      </c>
      <c r="Q204">
        <v>8</v>
      </c>
      <c r="R204">
        <v>1740.94</v>
      </c>
      <c r="S204" s="6">
        <v>0.05</v>
      </c>
      <c r="T204" s="6">
        <f t="shared" si="30"/>
        <v>0.05</v>
      </c>
      <c r="U204">
        <v>13231.14</v>
      </c>
      <c r="V204">
        <f t="shared" si="31"/>
        <v>13231.144</v>
      </c>
      <c r="W204" s="6">
        <f t="shared" si="32"/>
        <v>4.0000000008149073E-3</v>
      </c>
      <c r="X204">
        <v>11290.06</v>
      </c>
      <c r="Y204">
        <v>1941.08</v>
      </c>
      <c r="Z204">
        <f t="shared" si="33"/>
        <v>1941.0840000000007</v>
      </c>
      <c r="AA204" s="6">
        <f t="shared" si="34"/>
        <v>4.0000000008149073E-3</v>
      </c>
      <c r="AB204">
        <f t="shared" si="35"/>
        <v>0.14670568168557463</v>
      </c>
      <c r="AC204" t="s">
        <v>32</v>
      </c>
      <c r="AD204" t="s">
        <v>33</v>
      </c>
      <c r="AE204" t="s">
        <v>2828</v>
      </c>
    </row>
    <row r="205" spans="1:32">
      <c r="A205" t="s">
        <v>715</v>
      </c>
      <c r="B205" s="3">
        <v>45379</v>
      </c>
      <c r="C205" t="str">
        <f t="shared" si="28"/>
        <v>March</v>
      </c>
      <c r="D205">
        <f t="shared" si="29"/>
        <v>2024</v>
      </c>
      <c r="E205" s="3">
        <v>45381</v>
      </c>
      <c r="F205">
        <f t="shared" si="27"/>
        <v>2</v>
      </c>
      <c r="G205" t="s">
        <v>716</v>
      </c>
      <c r="H205" t="s">
        <v>132</v>
      </c>
      <c r="I205" t="s">
        <v>90</v>
      </c>
      <c r="J205" t="s">
        <v>63</v>
      </c>
      <c r="K205" t="s">
        <v>26</v>
      </c>
      <c r="L205" t="s">
        <v>109</v>
      </c>
      <c r="M205" t="s">
        <v>74</v>
      </c>
      <c r="N205" t="s">
        <v>75</v>
      </c>
      <c r="O205" t="s">
        <v>717</v>
      </c>
      <c r="P205" t="s">
        <v>31</v>
      </c>
      <c r="Q205">
        <v>1</v>
      </c>
      <c r="R205">
        <v>570.34</v>
      </c>
      <c r="S205" s="6">
        <v>0.15</v>
      </c>
      <c r="T205" s="6">
        <f t="shared" si="30"/>
        <v>0.15</v>
      </c>
      <c r="U205">
        <v>484.79</v>
      </c>
      <c r="V205">
        <f t="shared" si="31"/>
        <v>484.78899999999999</v>
      </c>
      <c r="W205" s="6">
        <f t="shared" si="32"/>
        <v>-1.0000000000331966E-3</v>
      </c>
      <c r="X205">
        <v>333.54</v>
      </c>
      <c r="Y205">
        <v>151.25</v>
      </c>
      <c r="Z205">
        <f t="shared" si="33"/>
        <v>151.24899999999997</v>
      </c>
      <c r="AA205" s="6">
        <f t="shared" si="34"/>
        <v>-1.0000000000331966E-3</v>
      </c>
      <c r="AB205">
        <f t="shared" si="35"/>
        <v>0.3119893396921134</v>
      </c>
      <c r="AC205" t="s">
        <v>32</v>
      </c>
      <c r="AD205" t="s">
        <v>33</v>
      </c>
      <c r="AE205" t="s">
        <v>2828</v>
      </c>
    </row>
    <row r="206" spans="1:32">
      <c r="A206" t="s">
        <v>718</v>
      </c>
      <c r="B206" s="3">
        <v>45858</v>
      </c>
      <c r="C206" t="str">
        <f t="shared" si="28"/>
        <v>July</v>
      </c>
      <c r="D206">
        <f t="shared" si="29"/>
        <v>2025</v>
      </c>
      <c r="E206" s="3">
        <v>45861</v>
      </c>
      <c r="F206">
        <f t="shared" si="27"/>
        <v>3</v>
      </c>
      <c r="G206" t="s">
        <v>719</v>
      </c>
      <c r="H206" t="s">
        <v>36</v>
      </c>
      <c r="I206" t="s">
        <v>95</v>
      </c>
      <c r="J206" t="s">
        <v>38</v>
      </c>
      <c r="K206" t="s">
        <v>99</v>
      </c>
      <c r="L206" t="s">
        <v>100</v>
      </c>
      <c r="M206" t="s">
        <v>41</v>
      </c>
      <c r="N206" t="s">
        <v>42</v>
      </c>
      <c r="O206" t="s">
        <v>720</v>
      </c>
      <c r="P206" t="s">
        <v>31</v>
      </c>
      <c r="Q206">
        <v>4</v>
      </c>
      <c r="R206">
        <v>477.69</v>
      </c>
      <c r="S206" s="6">
        <v>0.15</v>
      </c>
      <c r="T206" s="6">
        <f t="shared" si="30"/>
        <v>0.15</v>
      </c>
      <c r="U206">
        <v>1624.15</v>
      </c>
      <c r="V206">
        <f t="shared" si="31"/>
        <v>1624.146</v>
      </c>
      <c r="W206" s="6">
        <f t="shared" si="32"/>
        <v>-4.0000000001327862E-3</v>
      </c>
      <c r="X206">
        <v>1217.99</v>
      </c>
      <c r="Y206">
        <v>406.16</v>
      </c>
      <c r="Z206">
        <f t="shared" si="33"/>
        <v>406.15599999999995</v>
      </c>
      <c r="AA206" s="6">
        <f t="shared" si="34"/>
        <v>-4.0000000000759428E-3</v>
      </c>
      <c r="AB206">
        <f t="shared" si="35"/>
        <v>0.25007357712914968</v>
      </c>
      <c r="AC206" t="s">
        <v>32</v>
      </c>
      <c r="AD206" t="s">
        <v>33</v>
      </c>
      <c r="AE206" t="s">
        <v>2828</v>
      </c>
    </row>
    <row r="207" spans="1:32">
      <c r="A207" t="s">
        <v>721</v>
      </c>
      <c r="B207" s="3">
        <v>45768</v>
      </c>
      <c r="C207" t="str">
        <f t="shared" si="28"/>
        <v>April</v>
      </c>
      <c r="D207">
        <f t="shared" si="29"/>
        <v>2025</v>
      </c>
      <c r="E207" s="3">
        <v>45773</v>
      </c>
      <c r="F207">
        <f t="shared" si="27"/>
        <v>5</v>
      </c>
      <c r="G207" t="s">
        <v>722</v>
      </c>
      <c r="H207" t="s">
        <v>62</v>
      </c>
      <c r="I207" t="s">
        <v>24</v>
      </c>
      <c r="J207" t="s">
        <v>63</v>
      </c>
      <c r="K207" t="s">
        <v>64</v>
      </c>
      <c r="L207" t="s">
        <v>65</v>
      </c>
      <c r="M207" t="s">
        <v>28</v>
      </c>
      <c r="N207" t="s">
        <v>91</v>
      </c>
      <c r="O207" t="s">
        <v>723</v>
      </c>
      <c r="P207" t="s">
        <v>44</v>
      </c>
      <c r="Q207">
        <v>6</v>
      </c>
      <c r="R207">
        <v>873.59</v>
      </c>
      <c r="S207" s="6">
        <v>0.2</v>
      </c>
      <c r="T207" s="6">
        <f t="shared" si="30"/>
        <v>0.2</v>
      </c>
      <c r="U207">
        <v>4193.2299999999996</v>
      </c>
      <c r="V207">
        <f t="shared" si="31"/>
        <v>4193.232</v>
      </c>
      <c r="W207" s="6">
        <f t="shared" si="32"/>
        <v>2.0000000004074536E-3</v>
      </c>
      <c r="X207">
        <v>3329.99</v>
      </c>
      <c r="Y207">
        <v>863.24</v>
      </c>
      <c r="Z207">
        <f t="shared" si="33"/>
        <v>863.24200000000019</v>
      </c>
      <c r="AA207" s="6">
        <f t="shared" si="34"/>
        <v>2.00000000018008E-3</v>
      </c>
      <c r="AB207">
        <f t="shared" si="35"/>
        <v>0.2058655471483572</v>
      </c>
      <c r="AC207" t="s">
        <v>32</v>
      </c>
      <c r="AD207" t="s">
        <v>33</v>
      </c>
      <c r="AE207" t="s">
        <v>2828</v>
      </c>
    </row>
    <row r="208" spans="1:32">
      <c r="A208" t="s">
        <v>724</v>
      </c>
      <c r="B208" s="3">
        <v>45795</v>
      </c>
      <c r="C208" t="str">
        <f t="shared" si="28"/>
        <v>May</v>
      </c>
      <c r="D208">
        <f t="shared" si="29"/>
        <v>2025</v>
      </c>
      <c r="E208" s="3">
        <v>45797</v>
      </c>
      <c r="F208">
        <f t="shared" si="27"/>
        <v>2</v>
      </c>
      <c r="G208" t="s">
        <v>725</v>
      </c>
      <c r="H208" t="s">
        <v>162</v>
      </c>
      <c r="I208" t="s">
        <v>37</v>
      </c>
      <c r="J208" t="s">
        <v>25</v>
      </c>
      <c r="K208" t="s">
        <v>136</v>
      </c>
      <c r="L208" t="s">
        <v>137</v>
      </c>
      <c r="M208" t="s">
        <v>41</v>
      </c>
      <c r="N208" t="s">
        <v>57</v>
      </c>
      <c r="O208" t="s">
        <v>726</v>
      </c>
      <c r="P208" t="s">
        <v>50</v>
      </c>
      <c r="Q208">
        <v>2</v>
      </c>
      <c r="R208">
        <v>215.13</v>
      </c>
      <c r="S208" s="6">
        <v>0</v>
      </c>
      <c r="T208" s="6">
        <f t="shared" si="30"/>
        <v>0</v>
      </c>
      <c r="U208">
        <v>430.26</v>
      </c>
      <c r="V208">
        <f t="shared" si="31"/>
        <v>430.26</v>
      </c>
      <c r="W208" s="6">
        <f t="shared" si="32"/>
        <v>0</v>
      </c>
      <c r="X208">
        <v>286.38</v>
      </c>
      <c r="Y208">
        <v>143.88</v>
      </c>
      <c r="Z208">
        <f t="shared" si="33"/>
        <v>143.88</v>
      </c>
      <c r="AA208" s="6">
        <f t="shared" si="34"/>
        <v>0</v>
      </c>
      <c r="AB208">
        <f t="shared" si="35"/>
        <v>0.33440245432994004</v>
      </c>
      <c r="AC208" t="s">
        <v>32</v>
      </c>
      <c r="AD208" t="s">
        <v>33</v>
      </c>
      <c r="AE208" t="s">
        <v>2828</v>
      </c>
    </row>
    <row r="209" spans="1:32">
      <c r="A209" t="s">
        <v>727</v>
      </c>
      <c r="B209" s="3">
        <v>45572</v>
      </c>
      <c r="C209" t="str">
        <f t="shared" si="28"/>
        <v>October</v>
      </c>
      <c r="D209">
        <f t="shared" si="29"/>
        <v>2024</v>
      </c>
      <c r="E209" s="3">
        <v>45489</v>
      </c>
      <c r="F209">
        <f t="shared" si="27"/>
        <v>-83</v>
      </c>
      <c r="G209" t="s">
        <v>728</v>
      </c>
      <c r="H209" t="s">
        <v>128</v>
      </c>
      <c r="I209" t="s">
        <v>95</v>
      </c>
      <c r="J209" t="s">
        <v>63</v>
      </c>
      <c r="K209" t="s">
        <v>190</v>
      </c>
      <c r="L209" t="s">
        <v>191</v>
      </c>
      <c r="M209" t="s">
        <v>41</v>
      </c>
      <c r="N209" t="s">
        <v>158</v>
      </c>
      <c r="O209" t="s">
        <v>729</v>
      </c>
      <c r="P209" t="s">
        <v>31</v>
      </c>
      <c r="Q209">
        <v>2</v>
      </c>
      <c r="R209">
        <v>1095.45</v>
      </c>
      <c r="S209" s="6">
        <v>0.2</v>
      </c>
      <c r="T209" s="6">
        <f t="shared" si="30"/>
        <v>0.2</v>
      </c>
      <c r="U209">
        <v>1752.72</v>
      </c>
      <c r="V209">
        <f t="shared" si="31"/>
        <v>1752.7200000000003</v>
      </c>
      <c r="W209" s="6">
        <f t="shared" si="32"/>
        <v>0</v>
      </c>
      <c r="X209">
        <v>996.41</v>
      </c>
      <c r="Y209">
        <v>756.31</v>
      </c>
      <c r="Z209">
        <f t="shared" si="33"/>
        <v>756.31000000000029</v>
      </c>
      <c r="AA209" s="6">
        <f t="shared" si="34"/>
        <v>0</v>
      </c>
      <c r="AB209">
        <f t="shared" si="35"/>
        <v>0.43150645853302305</v>
      </c>
      <c r="AC209" t="s">
        <v>32</v>
      </c>
      <c r="AD209" t="s">
        <v>33</v>
      </c>
      <c r="AE209" t="s">
        <v>2826</v>
      </c>
      <c r="AF209" s="10" t="s">
        <v>2790</v>
      </c>
    </row>
    <row r="210" spans="1:32">
      <c r="A210" t="s">
        <v>730</v>
      </c>
      <c r="B210" s="3">
        <v>45837</v>
      </c>
      <c r="C210" t="str">
        <f t="shared" si="28"/>
        <v>June</v>
      </c>
      <c r="D210">
        <f t="shared" si="29"/>
        <v>2025</v>
      </c>
      <c r="E210" s="3">
        <v>45784</v>
      </c>
      <c r="F210">
        <f t="shared" si="27"/>
        <v>-53</v>
      </c>
      <c r="G210" t="s">
        <v>731</v>
      </c>
      <c r="H210" t="s">
        <v>162</v>
      </c>
      <c r="I210" t="s">
        <v>24</v>
      </c>
      <c r="J210" t="s">
        <v>25</v>
      </c>
      <c r="K210" t="s">
        <v>122</v>
      </c>
      <c r="L210" t="s">
        <v>123</v>
      </c>
      <c r="M210" t="s">
        <v>41</v>
      </c>
      <c r="N210" t="s">
        <v>66</v>
      </c>
      <c r="O210" t="s">
        <v>732</v>
      </c>
      <c r="P210" t="s">
        <v>44</v>
      </c>
      <c r="Q210">
        <v>1</v>
      </c>
      <c r="R210">
        <v>999.83</v>
      </c>
      <c r="S210" s="6">
        <v>0</v>
      </c>
      <c r="T210" s="6">
        <f t="shared" si="30"/>
        <v>0</v>
      </c>
      <c r="U210">
        <v>999.83</v>
      </c>
      <c r="V210">
        <f t="shared" si="31"/>
        <v>999.83</v>
      </c>
      <c r="W210" s="6">
        <f t="shared" si="32"/>
        <v>0</v>
      </c>
      <c r="X210">
        <v>634.91</v>
      </c>
      <c r="Y210">
        <v>364.92</v>
      </c>
      <c r="Z210">
        <f t="shared" si="33"/>
        <v>364.92000000000007</v>
      </c>
      <c r="AA210" s="6">
        <f t="shared" si="34"/>
        <v>0</v>
      </c>
      <c r="AB210">
        <f t="shared" si="35"/>
        <v>0.3649820469479812</v>
      </c>
      <c r="AC210" t="s">
        <v>32</v>
      </c>
      <c r="AD210" t="s">
        <v>33</v>
      </c>
      <c r="AE210" t="s">
        <v>2826</v>
      </c>
      <c r="AF210" s="10" t="s">
        <v>2790</v>
      </c>
    </row>
    <row r="211" spans="1:32">
      <c r="A211" t="s">
        <v>733</v>
      </c>
      <c r="B211" s="3">
        <v>45882</v>
      </c>
      <c r="C211" t="str">
        <f t="shared" si="28"/>
        <v>August</v>
      </c>
      <c r="D211">
        <f t="shared" si="29"/>
        <v>2025</v>
      </c>
      <c r="E211" s="3">
        <v>45883</v>
      </c>
      <c r="F211">
        <f t="shared" si="27"/>
        <v>1</v>
      </c>
      <c r="G211" t="s">
        <v>734</v>
      </c>
      <c r="H211" t="s">
        <v>141</v>
      </c>
      <c r="I211" t="s">
        <v>37</v>
      </c>
      <c r="J211" t="s">
        <v>54</v>
      </c>
      <c r="K211" t="s">
        <v>84</v>
      </c>
      <c r="L211" t="s">
        <v>85</v>
      </c>
      <c r="M211" t="s">
        <v>28</v>
      </c>
      <c r="N211" t="s">
        <v>29</v>
      </c>
      <c r="O211" t="s">
        <v>735</v>
      </c>
      <c r="P211" t="s">
        <v>50</v>
      </c>
      <c r="Q211">
        <v>9</v>
      </c>
      <c r="R211">
        <v>864.98</v>
      </c>
      <c r="S211" s="6">
        <v>0.1</v>
      </c>
      <c r="T211" s="6">
        <f t="shared" si="30"/>
        <v>0.1</v>
      </c>
      <c r="U211">
        <v>7006.34</v>
      </c>
      <c r="V211">
        <f t="shared" si="31"/>
        <v>7006.3379999999997</v>
      </c>
      <c r="W211" s="6">
        <f t="shared" si="32"/>
        <v>-2.0000000004074536E-3</v>
      </c>
      <c r="X211">
        <v>4640.88</v>
      </c>
      <c r="Y211">
        <v>2365.46</v>
      </c>
      <c r="Z211">
        <f t="shared" si="33"/>
        <v>2365.4579999999996</v>
      </c>
      <c r="AA211" s="6">
        <f t="shared" si="34"/>
        <v>-2.0000000004074536E-3</v>
      </c>
      <c r="AB211">
        <f t="shared" si="35"/>
        <v>0.33761688345609359</v>
      </c>
      <c r="AC211" t="s">
        <v>32</v>
      </c>
      <c r="AD211" t="s">
        <v>33</v>
      </c>
      <c r="AE211" t="s">
        <v>2828</v>
      </c>
    </row>
    <row r="212" spans="1:32">
      <c r="A212" t="s">
        <v>736</v>
      </c>
      <c r="B212" s="3">
        <v>45366</v>
      </c>
      <c r="C212" t="str">
        <f t="shared" si="28"/>
        <v>March</v>
      </c>
      <c r="D212">
        <f t="shared" si="29"/>
        <v>2024</v>
      </c>
      <c r="E212" s="3">
        <v>45369</v>
      </c>
      <c r="F212">
        <f t="shared" si="27"/>
        <v>3</v>
      </c>
      <c r="G212" t="s">
        <v>737</v>
      </c>
      <c r="H212" t="s">
        <v>264</v>
      </c>
      <c r="I212" t="s">
        <v>95</v>
      </c>
      <c r="J212" t="s">
        <v>54</v>
      </c>
      <c r="K212" t="s">
        <v>175</v>
      </c>
      <c r="L212" t="s">
        <v>176</v>
      </c>
      <c r="M212" t="s">
        <v>74</v>
      </c>
      <c r="N212" t="s">
        <v>274</v>
      </c>
      <c r="O212" t="s">
        <v>738</v>
      </c>
      <c r="P212" t="s">
        <v>31</v>
      </c>
      <c r="Q212">
        <v>1</v>
      </c>
      <c r="R212">
        <v>4131.3599999999997</v>
      </c>
      <c r="S212" s="6">
        <v>0</v>
      </c>
      <c r="T212" s="6">
        <f t="shared" si="30"/>
        <v>0</v>
      </c>
      <c r="U212">
        <v>4131.3599999999997</v>
      </c>
      <c r="V212">
        <f t="shared" si="31"/>
        <v>4131.3599999999997</v>
      </c>
      <c r="W212" s="6">
        <f t="shared" si="32"/>
        <v>0</v>
      </c>
      <c r="X212">
        <v>2937.07</v>
      </c>
      <c r="Y212">
        <v>1194.29</v>
      </c>
      <c r="Z212">
        <f t="shared" si="33"/>
        <v>1194.2899999999995</v>
      </c>
      <c r="AA212" s="6">
        <f t="shared" si="34"/>
        <v>0</v>
      </c>
      <c r="AB212">
        <f t="shared" si="35"/>
        <v>0.28907914100925591</v>
      </c>
      <c r="AC212" t="s">
        <v>155</v>
      </c>
      <c r="AD212" t="s">
        <v>103</v>
      </c>
      <c r="AE212" t="s">
        <v>2827</v>
      </c>
      <c r="AF212" s="10" t="s">
        <v>2821</v>
      </c>
    </row>
    <row r="213" spans="1:32">
      <c r="A213" t="s">
        <v>739</v>
      </c>
      <c r="B213" s="3">
        <v>45428</v>
      </c>
      <c r="C213" t="str">
        <f t="shared" si="28"/>
        <v>May</v>
      </c>
      <c r="D213">
        <f t="shared" si="29"/>
        <v>2024</v>
      </c>
      <c r="E213" s="3">
        <v>45429</v>
      </c>
      <c r="F213">
        <f t="shared" si="27"/>
        <v>1</v>
      </c>
      <c r="G213" t="s">
        <v>740</v>
      </c>
      <c r="H213" t="s">
        <v>141</v>
      </c>
      <c r="I213" t="s">
        <v>90</v>
      </c>
      <c r="J213" t="s">
        <v>38</v>
      </c>
      <c r="K213" t="s">
        <v>99</v>
      </c>
      <c r="L213" t="s">
        <v>100</v>
      </c>
      <c r="M213" t="s">
        <v>74</v>
      </c>
      <c r="N213" t="s">
        <v>80</v>
      </c>
      <c r="O213" t="s">
        <v>741</v>
      </c>
      <c r="P213" t="s">
        <v>31</v>
      </c>
      <c r="Q213">
        <v>8</v>
      </c>
      <c r="R213">
        <v>4221.95</v>
      </c>
      <c r="S213" s="6">
        <v>0.2</v>
      </c>
      <c r="T213" s="6">
        <f t="shared" si="30"/>
        <v>0.2</v>
      </c>
      <c r="U213">
        <v>27020.48</v>
      </c>
      <c r="V213">
        <f t="shared" si="31"/>
        <v>27020.48</v>
      </c>
      <c r="W213" s="6">
        <f t="shared" si="32"/>
        <v>0</v>
      </c>
      <c r="X213">
        <v>22885.24</v>
      </c>
      <c r="Y213">
        <v>4135.24</v>
      </c>
      <c r="Z213">
        <f t="shared" si="33"/>
        <v>4135.239999999998</v>
      </c>
      <c r="AA213" s="6">
        <f t="shared" si="34"/>
        <v>0</v>
      </c>
      <c r="AB213">
        <f t="shared" si="35"/>
        <v>0.15304095264036752</v>
      </c>
      <c r="AC213" t="s">
        <v>32</v>
      </c>
      <c r="AD213" t="s">
        <v>33</v>
      </c>
      <c r="AE213" t="s">
        <v>2828</v>
      </c>
    </row>
    <row r="214" spans="1:32">
      <c r="A214" t="s">
        <v>742</v>
      </c>
      <c r="B214" s="3">
        <v>45556</v>
      </c>
      <c r="C214" t="str">
        <f t="shared" si="28"/>
        <v>September</v>
      </c>
      <c r="D214">
        <f t="shared" si="29"/>
        <v>2024</v>
      </c>
      <c r="E214" s="3">
        <v>45556</v>
      </c>
      <c r="F214">
        <f t="shared" si="27"/>
        <v>0</v>
      </c>
      <c r="G214" t="s">
        <v>743</v>
      </c>
      <c r="H214" t="s">
        <v>62</v>
      </c>
      <c r="I214" t="s">
        <v>37</v>
      </c>
      <c r="J214" t="s">
        <v>38</v>
      </c>
      <c r="K214" t="s">
        <v>39</v>
      </c>
      <c r="L214" t="s">
        <v>40</v>
      </c>
      <c r="M214" t="s">
        <v>74</v>
      </c>
      <c r="N214" t="s">
        <v>171</v>
      </c>
      <c r="O214" t="s">
        <v>744</v>
      </c>
      <c r="P214" t="s">
        <v>44</v>
      </c>
      <c r="Q214">
        <v>2</v>
      </c>
      <c r="R214">
        <v>214.5</v>
      </c>
      <c r="S214" s="6">
        <v>0.15</v>
      </c>
      <c r="T214" s="6">
        <f t="shared" si="30"/>
        <v>0.15</v>
      </c>
      <c r="U214">
        <v>364.65</v>
      </c>
      <c r="V214">
        <f t="shared" si="31"/>
        <v>364.65</v>
      </c>
      <c r="W214" s="6">
        <f t="shared" si="32"/>
        <v>0</v>
      </c>
      <c r="X214">
        <v>280.74</v>
      </c>
      <c r="Y214">
        <v>83.91</v>
      </c>
      <c r="Z214">
        <f t="shared" si="33"/>
        <v>83.909999999999968</v>
      </c>
      <c r="AA214" s="6">
        <f t="shared" si="34"/>
        <v>0</v>
      </c>
      <c r="AB214">
        <f t="shared" si="35"/>
        <v>0.23011106540518297</v>
      </c>
      <c r="AC214" t="s">
        <v>32</v>
      </c>
      <c r="AD214" t="s">
        <v>33</v>
      </c>
      <c r="AE214" t="s">
        <v>2828</v>
      </c>
    </row>
    <row r="215" spans="1:32">
      <c r="A215" t="s">
        <v>745</v>
      </c>
      <c r="B215" s="3">
        <v>45427</v>
      </c>
      <c r="C215" t="str">
        <f t="shared" si="28"/>
        <v>May</v>
      </c>
      <c r="D215">
        <f t="shared" si="29"/>
        <v>2024</v>
      </c>
      <c r="E215" s="3">
        <v>45433</v>
      </c>
      <c r="F215">
        <f t="shared" si="27"/>
        <v>6</v>
      </c>
      <c r="G215" t="s">
        <v>746</v>
      </c>
      <c r="H215" t="s">
        <v>47</v>
      </c>
      <c r="I215" t="s">
        <v>37</v>
      </c>
      <c r="J215" t="s">
        <v>38</v>
      </c>
      <c r="K215" t="s">
        <v>145</v>
      </c>
      <c r="L215" t="s">
        <v>146</v>
      </c>
      <c r="M215" t="s">
        <v>74</v>
      </c>
      <c r="N215" t="s">
        <v>75</v>
      </c>
      <c r="O215" t="s">
        <v>747</v>
      </c>
      <c r="P215" t="s">
        <v>31</v>
      </c>
      <c r="Q215">
        <v>4</v>
      </c>
      <c r="R215">
        <v>4332.7299999999996</v>
      </c>
      <c r="S215" s="6">
        <v>0.2</v>
      </c>
      <c r="T215" s="6">
        <f t="shared" si="30"/>
        <v>0.2</v>
      </c>
      <c r="U215">
        <v>13864.74</v>
      </c>
      <c r="V215">
        <f t="shared" si="31"/>
        <v>13864.735999999999</v>
      </c>
      <c r="W215" s="6">
        <f t="shared" si="32"/>
        <v>-4.0000000008149073E-3</v>
      </c>
      <c r="X215">
        <v>11294.06</v>
      </c>
      <c r="Y215">
        <v>2570.6799999999998</v>
      </c>
      <c r="Z215">
        <f t="shared" si="33"/>
        <v>2570.6759999999995</v>
      </c>
      <c r="AA215" s="6">
        <f t="shared" si="34"/>
        <v>-4.0000000003601599E-3</v>
      </c>
      <c r="AB215">
        <f t="shared" si="35"/>
        <v>0.18541110339208763</v>
      </c>
      <c r="AC215" t="s">
        <v>32</v>
      </c>
      <c r="AD215" t="s">
        <v>33</v>
      </c>
      <c r="AE215" t="s">
        <v>2828</v>
      </c>
    </row>
    <row r="216" spans="1:32">
      <c r="A216" t="s">
        <v>748</v>
      </c>
      <c r="B216" s="3">
        <v>45368</v>
      </c>
      <c r="C216" t="str">
        <f t="shared" si="28"/>
        <v>March</v>
      </c>
      <c r="D216">
        <f t="shared" si="29"/>
        <v>2024</v>
      </c>
      <c r="E216" s="3">
        <v>45374</v>
      </c>
      <c r="F216">
        <f t="shared" si="27"/>
        <v>6</v>
      </c>
      <c r="G216" t="s">
        <v>749</v>
      </c>
      <c r="H216" t="s">
        <v>118</v>
      </c>
      <c r="I216" t="s">
        <v>24</v>
      </c>
      <c r="J216" t="s">
        <v>25</v>
      </c>
      <c r="K216" t="s">
        <v>236</v>
      </c>
      <c r="L216" t="s">
        <v>237</v>
      </c>
      <c r="M216" t="s">
        <v>74</v>
      </c>
      <c r="N216" t="s">
        <v>75</v>
      </c>
      <c r="O216" t="s">
        <v>750</v>
      </c>
      <c r="P216" t="s">
        <v>50</v>
      </c>
      <c r="Q216">
        <v>3</v>
      </c>
      <c r="R216">
        <v>248.18</v>
      </c>
      <c r="S216" s="6">
        <v>0.05</v>
      </c>
      <c r="T216" s="6">
        <f t="shared" si="30"/>
        <v>0.05</v>
      </c>
      <c r="U216">
        <v>707.31</v>
      </c>
      <c r="V216">
        <f t="shared" si="31"/>
        <v>707.31299999999999</v>
      </c>
      <c r="W216" s="6">
        <f t="shared" si="32"/>
        <v>3.0000000000427463E-3</v>
      </c>
      <c r="X216">
        <v>569</v>
      </c>
      <c r="Y216">
        <v>138.31</v>
      </c>
      <c r="Z216">
        <f t="shared" si="33"/>
        <v>138.31299999999999</v>
      </c>
      <c r="AA216" s="6">
        <f t="shared" si="34"/>
        <v>2.9999999999859028E-3</v>
      </c>
      <c r="AB216">
        <f t="shared" si="35"/>
        <v>0.19554709159876885</v>
      </c>
      <c r="AC216" t="s">
        <v>32</v>
      </c>
      <c r="AD216" t="s">
        <v>33</v>
      </c>
      <c r="AE216" t="s">
        <v>2828</v>
      </c>
    </row>
    <row r="217" spans="1:32">
      <c r="A217" t="s">
        <v>751</v>
      </c>
      <c r="B217" s="3">
        <v>45294</v>
      </c>
      <c r="C217" t="str">
        <f t="shared" si="28"/>
        <v>January</v>
      </c>
      <c r="D217">
        <f t="shared" si="29"/>
        <v>2024</v>
      </c>
      <c r="E217" s="3">
        <v>45385</v>
      </c>
      <c r="F217">
        <f t="shared" si="27"/>
        <v>91</v>
      </c>
      <c r="G217" t="s">
        <v>752</v>
      </c>
      <c r="H217" t="s">
        <v>36</v>
      </c>
      <c r="I217" t="s">
        <v>24</v>
      </c>
      <c r="J217" t="s">
        <v>63</v>
      </c>
      <c r="K217" t="s">
        <v>72</v>
      </c>
      <c r="L217" t="s">
        <v>73</v>
      </c>
      <c r="M217" t="s">
        <v>28</v>
      </c>
      <c r="N217" t="s">
        <v>29</v>
      </c>
      <c r="O217" t="s">
        <v>753</v>
      </c>
      <c r="P217" t="s">
        <v>50</v>
      </c>
      <c r="Q217">
        <v>8</v>
      </c>
      <c r="R217">
        <v>3202.4</v>
      </c>
      <c r="S217" s="6">
        <v>0.25</v>
      </c>
      <c r="T217" s="6">
        <f t="shared" si="30"/>
        <v>0.25</v>
      </c>
      <c r="U217">
        <v>19214.400000000001</v>
      </c>
      <c r="V217">
        <f t="shared" si="31"/>
        <v>19214.400000000001</v>
      </c>
      <c r="W217" s="6">
        <f t="shared" si="32"/>
        <v>0</v>
      </c>
      <c r="X217">
        <v>10916.01</v>
      </c>
      <c r="Y217">
        <v>8298.39</v>
      </c>
      <c r="Z217">
        <f t="shared" si="33"/>
        <v>8298.3900000000012</v>
      </c>
      <c r="AA217" s="6">
        <f t="shared" si="34"/>
        <v>0</v>
      </c>
      <c r="AB217">
        <f t="shared" si="35"/>
        <v>0.43188389957531853</v>
      </c>
      <c r="AC217" t="s">
        <v>32</v>
      </c>
      <c r="AD217" t="s">
        <v>33</v>
      </c>
      <c r="AE217" t="s">
        <v>2828</v>
      </c>
    </row>
    <row r="218" spans="1:32">
      <c r="A218" t="s">
        <v>754</v>
      </c>
      <c r="B218" s="3">
        <v>45757</v>
      </c>
      <c r="C218" t="str">
        <f t="shared" si="28"/>
        <v>April</v>
      </c>
      <c r="D218">
        <f t="shared" si="29"/>
        <v>2025</v>
      </c>
      <c r="E218" s="3">
        <v>45762</v>
      </c>
      <c r="F218">
        <f t="shared" si="27"/>
        <v>5</v>
      </c>
      <c r="G218" t="s">
        <v>755</v>
      </c>
      <c r="H218" t="s">
        <v>47</v>
      </c>
      <c r="I218" t="s">
        <v>24</v>
      </c>
      <c r="J218" t="s">
        <v>63</v>
      </c>
      <c r="K218" t="s">
        <v>180</v>
      </c>
      <c r="L218" t="s">
        <v>181</v>
      </c>
      <c r="M218" t="s">
        <v>41</v>
      </c>
      <c r="N218" t="s">
        <v>42</v>
      </c>
      <c r="O218" t="s">
        <v>756</v>
      </c>
      <c r="P218" t="s">
        <v>59</v>
      </c>
      <c r="Q218">
        <v>8</v>
      </c>
      <c r="R218">
        <v>1839.87</v>
      </c>
      <c r="S218" s="6">
        <v>0.25</v>
      </c>
      <c r="T218" s="6">
        <f t="shared" si="30"/>
        <v>0.25</v>
      </c>
      <c r="U218">
        <v>11039.22</v>
      </c>
      <c r="V218">
        <f t="shared" si="31"/>
        <v>11039.22</v>
      </c>
      <c r="W218" s="6">
        <f t="shared" si="32"/>
        <v>0</v>
      </c>
      <c r="X218">
        <v>7642.91</v>
      </c>
      <c r="Y218">
        <v>3396.31</v>
      </c>
      <c r="Z218">
        <f t="shared" si="33"/>
        <v>3396.3099999999995</v>
      </c>
      <c r="AA218" s="6">
        <f t="shared" si="34"/>
        <v>0</v>
      </c>
      <c r="AB218">
        <f t="shared" si="35"/>
        <v>0.30765851210502188</v>
      </c>
      <c r="AC218" t="s">
        <v>155</v>
      </c>
      <c r="AD218" t="s">
        <v>103</v>
      </c>
      <c r="AE218" t="s">
        <v>2827</v>
      </c>
      <c r="AF218" s="10" t="s">
        <v>2821</v>
      </c>
    </row>
    <row r="219" spans="1:32">
      <c r="A219" t="s">
        <v>757</v>
      </c>
      <c r="B219" s="3">
        <v>45661</v>
      </c>
      <c r="C219" t="str">
        <f t="shared" si="28"/>
        <v>January</v>
      </c>
      <c r="D219">
        <f t="shared" si="29"/>
        <v>2025</v>
      </c>
      <c r="E219" s="3">
        <v>45755</v>
      </c>
      <c r="F219">
        <f t="shared" si="27"/>
        <v>94</v>
      </c>
      <c r="G219" t="s">
        <v>758</v>
      </c>
      <c r="H219" t="s">
        <v>89</v>
      </c>
      <c r="I219" t="s">
        <v>24</v>
      </c>
      <c r="J219" t="s">
        <v>38</v>
      </c>
      <c r="K219" t="s">
        <v>39</v>
      </c>
      <c r="L219" t="s">
        <v>40</v>
      </c>
      <c r="M219" t="s">
        <v>41</v>
      </c>
      <c r="N219" t="s">
        <v>158</v>
      </c>
      <c r="O219" t="s">
        <v>759</v>
      </c>
      <c r="P219" t="s">
        <v>31</v>
      </c>
      <c r="Q219">
        <v>5</v>
      </c>
      <c r="R219">
        <v>1021.28</v>
      </c>
      <c r="S219" s="6">
        <v>0.1</v>
      </c>
      <c r="T219" s="6">
        <f t="shared" si="30"/>
        <v>0.1</v>
      </c>
      <c r="U219">
        <v>4595.76</v>
      </c>
      <c r="V219">
        <f t="shared" si="31"/>
        <v>4595.76</v>
      </c>
      <c r="W219" s="6">
        <f t="shared" si="32"/>
        <v>0</v>
      </c>
      <c r="X219">
        <v>3396.8</v>
      </c>
      <c r="Y219">
        <v>1198.96</v>
      </c>
      <c r="Z219">
        <f t="shared" si="33"/>
        <v>1198.96</v>
      </c>
      <c r="AA219" s="6">
        <f t="shared" si="34"/>
        <v>0</v>
      </c>
      <c r="AB219">
        <f t="shared" si="35"/>
        <v>0.26088394520166414</v>
      </c>
      <c r="AC219" t="s">
        <v>102</v>
      </c>
      <c r="AD219" t="s">
        <v>68</v>
      </c>
      <c r="AE219" t="s">
        <v>2827</v>
      </c>
      <c r="AF219" t="s">
        <v>2808</v>
      </c>
    </row>
    <row r="220" spans="1:32">
      <c r="A220" t="s">
        <v>760</v>
      </c>
      <c r="B220" s="3">
        <v>45714</v>
      </c>
      <c r="C220" t="str">
        <f t="shared" si="28"/>
        <v>February</v>
      </c>
      <c r="D220">
        <f t="shared" si="29"/>
        <v>2025</v>
      </c>
      <c r="E220" s="3">
        <v>45715</v>
      </c>
      <c r="F220">
        <f t="shared" si="27"/>
        <v>1</v>
      </c>
      <c r="G220" t="s">
        <v>761</v>
      </c>
      <c r="H220" t="s">
        <v>114</v>
      </c>
      <c r="I220" t="s">
        <v>90</v>
      </c>
      <c r="J220" t="s">
        <v>63</v>
      </c>
      <c r="K220" t="s">
        <v>180</v>
      </c>
      <c r="L220" t="s">
        <v>181</v>
      </c>
      <c r="M220" t="s">
        <v>41</v>
      </c>
      <c r="N220" t="s">
        <v>158</v>
      </c>
      <c r="O220" t="s">
        <v>762</v>
      </c>
      <c r="P220" t="s">
        <v>59</v>
      </c>
      <c r="Q220">
        <v>5</v>
      </c>
      <c r="R220">
        <v>258.27999999999997</v>
      </c>
      <c r="S220" s="6">
        <v>0</v>
      </c>
      <c r="T220" s="6">
        <f t="shared" si="30"/>
        <v>0</v>
      </c>
      <c r="U220">
        <v>1291.4000000000001</v>
      </c>
      <c r="V220">
        <f t="shared" si="31"/>
        <v>1291.3999999999999</v>
      </c>
      <c r="W220" s="6">
        <f t="shared" si="32"/>
        <v>0</v>
      </c>
      <c r="X220">
        <v>756.93</v>
      </c>
      <c r="Y220">
        <v>534.47</v>
      </c>
      <c r="Z220">
        <f t="shared" si="33"/>
        <v>534.46999999999991</v>
      </c>
      <c r="AA220" s="6">
        <f t="shared" si="34"/>
        <v>0</v>
      </c>
      <c r="AB220">
        <f t="shared" si="35"/>
        <v>0.41386866966083319</v>
      </c>
      <c r="AC220" t="s">
        <v>32</v>
      </c>
      <c r="AD220" t="s">
        <v>33</v>
      </c>
      <c r="AE220" t="s">
        <v>2828</v>
      </c>
    </row>
    <row r="221" spans="1:32">
      <c r="A221" t="s">
        <v>763</v>
      </c>
      <c r="B221" s="3">
        <v>45461</v>
      </c>
      <c r="C221" t="str">
        <f t="shared" si="28"/>
        <v>June</v>
      </c>
      <c r="D221">
        <f t="shared" si="29"/>
        <v>2024</v>
      </c>
      <c r="E221" s="3">
        <v>45462</v>
      </c>
      <c r="F221">
        <f t="shared" si="27"/>
        <v>1</v>
      </c>
      <c r="G221" t="s">
        <v>764</v>
      </c>
      <c r="H221" t="s">
        <v>118</v>
      </c>
      <c r="I221" t="s">
        <v>24</v>
      </c>
      <c r="J221" t="s">
        <v>38</v>
      </c>
      <c r="K221" t="s">
        <v>145</v>
      </c>
      <c r="L221" t="s">
        <v>146</v>
      </c>
      <c r="M221" t="s">
        <v>74</v>
      </c>
      <c r="N221" t="s">
        <v>274</v>
      </c>
      <c r="O221" t="s">
        <v>765</v>
      </c>
      <c r="P221" t="s">
        <v>50</v>
      </c>
      <c r="Q221">
        <v>2</v>
      </c>
      <c r="R221">
        <v>121.49</v>
      </c>
      <c r="S221" s="6">
        <v>0.85</v>
      </c>
      <c r="T221" s="6">
        <f t="shared" si="30"/>
        <v>0.85</v>
      </c>
      <c r="U221">
        <v>242.98</v>
      </c>
      <c r="V221">
        <f t="shared" si="31"/>
        <v>36.447000000000003</v>
      </c>
      <c r="W221" s="6">
        <f t="shared" si="32"/>
        <v>-206.53299999999999</v>
      </c>
      <c r="X221">
        <v>161.41999999999999</v>
      </c>
      <c r="Y221">
        <v>81.56</v>
      </c>
      <c r="Z221">
        <f t="shared" si="33"/>
        <v>-124.97299999999998</v>
      </c>
      <c r="AA221" s="6">
        <f t="shared" si="34"/>
        <v>-206.53299999999999</v>
      </c>
      <c r="AB221">
        <f t="shared" si="35"/>
        <v>-3.4288967541910162</v>
      </c>
      <c r="AC221" t="s">
        <v>32</v>
      </c>
      <c r="AD221" t="s">
        <v>33</v>
      </c>
      <c r="AE221" t="s">
        <v>2826</v>
      </c>
      <c r="AF221" s="10" t="s">
        <v>2791</v>
      </c>
    </row>
    <row r="222" spans="1:32">
      <c r="A222" t="s">
        <v>766</v>
      </c>
      <c r="B222" s="3">
        <v>45538</v>
      </c>
      <c r="C222" t="str">
        <f t="shared" si="28"/>
        <v>September</v>
      </c>
      <c r="D222">
        <f t="shared" si="29"/>
        <v>2024</v>
      </c>
      <c r="E222" s="3">
        <v>45538</v>
      </c>
      <c r="F222">
        <f t="shared" si="27"/>
        <v>0</v>
      </c>
      <c r="G222" t="s">
        <v>767</v>
      </c>
      <c r="H222" t="s">
        <v>132</v>
      </c>
      <c r="I222" t="s">
        <v>24</v>
      </c>
      <c r="J222" t="s">
        <v>54</v>
      </c>
      <c r="K222" t="s">
        <v>185</v>
      </c>
      <c r="L222" t="s">
        <v>186</v>
      </c>
      <c r="M222" t="s">
        <v>28</v>
      </c>
      <c r="N222" t="s">
        <v>124</v>
      </c>
      <c r="O222" t="s">
        <v>768</v>
      </c>
      <c r="P222" t="s">
        <v>50</v>
      </c>
      <c r="Q222">
        <v>4</v>
      </c>
      <c r="R222">
        <v>2810.17</v>
      </c>
      <c r="S222" s="6">
        <v>0.15</v>
      </c>
      <c r="T222" s="6">
        <f t="shared" si="30"/>
        <v>0.15</v>
      </c>
      <c r="U222">
        <v>9554.58</v>
      </c>
      <c r="V222">
        <f t="shared" si="31"/>
        <v>9554.5779999999995</v>
      </c>
      <c r="W222" s="6">
        <f t="shared" si="32"/>
        <v>-2.0000000004074536E-3</v>
      </c>
      <c r="X222">
        <v>6068.47</v>
      </c>
      <c r="Y222">
        <v>3486.11</v>
      </c>
      <c r="Z222">
        <f t="shared" si="33"/>
        <v>3486.1079999999993</v>
      </c>
      <c r="AA222" s="6">
        <f t="shared" si="34"/>
        <v>-2.000000000862201E-3</v>
      </c>
      <c r="AB222">
        <f t="shared" si="35"/>
        <v>0.36486258210462036</v>
      </c>
      <c r="AC222" t="s">
        <v>102</v>
      </c>
      <c r="AD222" t="s">
        <v>68</v>
      </c>
      <c r="AE222" t="s">
        <v>2827</v>
      </c>
      <c r="AF222" t="s">
        <v>2808</v>
      </c>
    </row>
    <row r="223" spans="1:32">
      <c r="A223" t="s">
        <v>769</v>
      </c>
      <c r="B223" s="3">
        <v>45992</v>
      </c>
      <c r="C223" t="str">
        <f t="shared" si="28"/>
        <v>December</v>
      </c>
      <c r="D223">
        <f t="shared" si="29"/>
        <v>2025</v>
      </c>
      <c r="E223" s="3">
        <v>45672</v>
      </c>
      <c r="F223">
        <f t="shared" si="27"/>
        <v>-320</v>
      </c>
      <c r="G223" t="s">
        <v>770</v>
      </c>
      <c r="H223" t="s">
        <v>36</v>
      </c>
      <c r="I223" t="s">
        <v>90</v>
      </c>
      <c r="J223" t="s">
        <v>54</v>
      </c>
      <c r="K223" t="s">
        <v>175</v>
      </c>
      <c r="L223" t="s">
        <v>176</v>
      </c>
      <c r="M223" t="s">
        <v>41</v>
      </c>
      <c r="N223" t="s">
        <v>66</v>
      </c>
      <c r="O223" t="s">
        <v>771</v>
      </c>
      <c r="P223" t="s">
        <v>44</v>
      </c>
      <c r="Q223">
        <v>4</v>
      </c>
      <c r="R223">
        <v>1531.53</v>
      </c>
      <c r="S223" s="6">
        <v>0.2</v>
      </c>
      <c r="T223" s="6">
        <f t="shared" si="30"/>
        <v>0.2</v>
      </c>
      <c r="U223">
        <v>4900.8999999999996</v>
      </c>
      <c r="V223">
        <f t="shared" si="31"/>
        <v>4900.8959999999997</v>
      </c>
      <c r="W223" s="6">
        <f t="shared" si="32"/>
        <v>-3.9999999999054126E-3</v>
      </c>
      <c r="X223">
        <v>3552.69</v>
      </c>
      <c r="Y223">
        <v>1348.21</v>
      </c>
      <c r="Z223">
        <f t="shared" si="33"/>
        <v>1348.2059999999997</v>
      </c>
      <c r="AA223" s="6">
        <f t="shared" si="34"/>
        <v>-4.0000000003601599E-3</v>
      </c>
      <c r="AB223">
        <f t="shared" si="35"/>
        <v>0.27509377877024932</v>
      </c>
      <c r="AC223" t="s">
        <v>32</v>
      </c>
      <c r="AD223" t="s">
        <v>33</v>
      </c>
      <c r="AE223" t="s">
        <v>2826</v>
      </c>
      <c r="AF223" s="10" t="s">
        <v>2790</v>
      </c>
    </row>
    <row r="224" spans="1:32">
      <c r="A224" t="s">
        <v>772</v>
      </c>
      <c r="B224" s="3">
        <v>45776</v>
      </c>
      <c r="C224" t="str">
        <f t="shared" si="28"/>
        <v>April</v>
      </c>
      <c r="D224">
        <f t="shared" si="29"/>
        <v>2025</v>
      </c>
      <c r="E224" s="3">
        <v>45693</v>
      </c>
      <c r="F224">
        <f t="shared" si="27"/>
        <v>-83</v>
      </c>
      <c r="G224" t="s">
        <v>773</v>
      </c>
      <c r="H224" t="s">
        <v>71</v>
      </c>
      <c r="I224" t="s">
        <v>37</v>
      </c>
      <c r="J224" t="s">
        <v>63</v>
      </c>
      <c r="K224" t="s">
        <v>190</v>
      </c>
      <c r="L224" t="s">
        <v>191</v>
      </c>
      <c r="M224" t="s">
        <v>28</v>
      </c>
      <c r="N224" t="s">
        <v>124</v>
      </c>
      <c r="O224" t="s">
        <v>774</v>
      </c>
      <c r="P224" t="s">
        <v>50</v>
      </c>
      <c r="Q224">
        <v>6</v>
      </c>
      <c r="R224">
        <v>4308.09</v>
      </c>
      <c r="S224" s="6">
        <v>0</v>
      </c>
      <c r="T224" s="6">
        <f t="shared" si="30"/>
        <v>0</v>
      </c>
      <c r="U224">
        <v>25848.54</v>
      </c>
      <c r="V224">
        <f t="shared" si="31"/>
        <v>25848.54</v>
      </c>
      <c r="W224" s="6">
        <f t="shared" si="32"/>
        <v>0</v>
      </c>
      <c r="X224">
        <v>17729.09</v>
      </c>
      <c r="Y224">
        <v>8119.45</v>
      </c>
      <c r="Z224">
        <f t="shared" si="33"/>
        <v>8119.4500000000007</v>
      </c>
      <c r="AA224" s="6">
        <f t="shared" si="34"/>
        <v>0</v>
      </c>
      <c r="AB224">
        <f t="shared" si="35"/>
        <v>0.31411638723115504</v>
      </c>
      <c r="AC224" t="s">
        <v>32</v>
      </c>
      <c r="AD224" t="s">
        <v>33</v>
      </c>
      <c r="AE224" t="s">
        <v>2826</v>
      </c>
      <c r="AF224" s="10" t="s">
        <v>2790</v>
      </c>
    </row>
    <row r="225" spans="1:32">
      <c r="A225" t="s">
        <v>775</v>
      </c>
      <c r="B225" s="3">
        <v>45707</v>
      </c>
      <c r="C225" t="str">
        <f t="shared" si="28"/>
        <v>February</v>
      </c>
      <c r="D225">
        <f t="shared" si="29"/>
        <v>2025</v>
      </c>
      <c r="E225" s="3">
        <v>45714</v>
      </c>
      <c r="F225">
        <f t="shared" si="27"/>
        <v>7</v>
      </c>
      <c r="G225" t="s">
        <v>776</v>
      </c>
      <c r="H225" t="s">
        <v>36</v>
      </c>
      <c r="I225" t="s">
        <v>90</v>
      </c>
      <c r="J225" t="s">
        <v>63</v>
      </c>
      <c r="K225" t="s">
        <v>64</v>
      </c>
      <c r="L225" t="s">
        <v>65</v>
      </c>
      <c r="M225" t="s">
        <v>41</v>
      </c>
      <c r="N225" t="s">
        <v>57</v>
      </c>
      <c r="O225" t="s">
        <v>777</v>
      </c>
      <c r="P225" t="s">
        <v>50</v>
      </c>
      <c r="Q225">
        <v>3</v>
      </c>
      <c r="R225">
        <v>490.3</v>
      </c>
      <c r="S225" s="6">
        <v>0.2</v>
      </c>
      <c r="T225" s="6">
        <f t="shared" si="30"/>
        <v>0.2</v>
      </c>
      <c r="U225">
        <v>1176.72</v>
      </c>
      <c r="V225">
        <f t="shared" si="31"/>
        <v>1176.72</v>
      </c>
      <c r="W225" s="6">
        <f t="shared" si="32"/>
        <v>0</v>
      </c>
      <c r="X225">
        <v>654.33000000000004</v>
      </c>
      <c r="Y225">
        <v>522.39</v>
      </c>
      <c r="Z225">
        <f t="shared" si="33"/>
        <v>522.39</v>
      </c>
      <c r="AA225" s="6">
        <f t="shared" si="34"/>
        <v>0</v>
      </c>
      <c r="AB225">
        <f t="shared" si="35"/>
        <v>0.44393738527432181</v>
      </c>
      <c r="AC225" t="s">
        <v>111</v>
      </c>
      <c r="AD225" t="s">
        <v>103</v>
      </c>
      <c r="AE225" t="s">
        <v>2827</v>
      </c>
      <c r="AF225" t="s">
        <v>2814</v>
      </c>
    </row>
    <row r="226" spans="1:32">
      <c r="A226" t="s">
        <v>778</v>
      </c>
      <c r="B226" s="3">
        <v>45932</v>
      </c>
      <c r="C226" t="str">
        <f t="shared" si="28"/>
        <v>October</v>
      </c>
      <c r="D226">
        <f t="shared" si="29"/>
        <v>2025</v>
      </c>
      <c r="E226" s="3">
        <v>45879</v>
      </c>
      <c r="F226">
        <f t="shared" si="27"/>
        <v>-53</v>
      </c>
      <c r="G226" t="s">
        <v>779</v>
      </c>
      <c r="H226" t="s">
        <v>47</v>
      </c>
      <c r="I226" t="s">
        <v>37</v>
      </c>
      <c r="J226" t="s">
        <v>25</v>
      </c>
      <c r="K226" t="s">
        <v>122</v>
      </c>
      <c r="L226" t="s">
        <v>123</v>
      </c>
      <c r="M226" t="s">
        <v>41</v>
      </c>
      <c r="N226" t="s">
        <v>57</v>
      </c>
      <c r="O226" t="s">
        <v>780</v>
      </c>
      <c r="P226" t="s">
        <v>59</v>
      </c>
      <c r="Q226">
        <v>4</v>
      </c>
      <c r="R226">
        <v>3944.64</v>
      </c>
      <c r="S226" s="6">
        <v>0.25</v>
      </c>
      <c r="T226" s="6">
        <f t="shared" si="30"/>
        <v>0.25</v>
      </c>
      <c r="U226">
        <v>11833.92</v>
      </c>
      <c r="V226">
        <f t="shared" si="31"/>
        <v>11833.92</v>
      </c>
      <c r="W226" s="6">
        <f t="shared" si="32"/>
        <v>0</v>
      </c>
      <c r="X226">
        <v>6682.92</v>
      </c>
      <c r="Y226">
        <v>5151</v>
      </c>
      <c r="Z226">
        <f t="shared" si="33"/>
        <v>5151</v>
      </c>
      <c r="AA226" s="6">
        <f t="shared" si="34"/>
        <v>0</v>
      </c>
      <c r="AB226">
        <f t="shared" si="35"/>
        <v>0.43527419485681834</v>
      </c>
      <c r="AC226" t="s">
        <v>32</v>
      </c>
      <c r="AD226" t="s">
        <v>68</v>
      </c>
      <c r="AE226" t="s">
        <v>2826</v>
      </c>
      <c r="AF226" s="10" t="s">
        <v>2803</v>
      </c>
    </row>
    <row r="227" spans="1:32">
      <c r="A227" t="s">
        <v>781</v>
      </c>
      <c r="B227" s="3">
        <v>45331</v>
      </c>
      <c r="C227" t="str">
        <f t="shared" si="28"/>
        <v>February</v>
      </c>
      <c r="D227">
        <f t="shared" si="29"/>
        <v>2024</v>
      </c>
      <c r="E227" s="3">
        <v>45574</v>
      </c>
      <c r="F227">
        <f t="shared" si="27"/>
        <v>243</v>
      </c>
      <c r="G227" t="s">
        <v>782</v>
      </c>
      <c r="H227" t="s">
        <v>36</v>
      </c>
      <c r="I227" t="s">
        <v>90</v>
      </c>
      <c r="J227" t="s">
        <v>63</v>
      </c>
      <c r="K227" t="s">
        <v>190</v>
      </c>
      <c r="L227" t="s">
        <v>191</v>
      </c>
      <c r="M227" t="s">
        <v>74</v>
      </c>
      <c r="N227" t="s">
        <v>171</v>
      </c>
      <c r="O227" t="s">
        <v>783</v>
      </c>
      <c r="P227" t="s">
        <v>59</v>
      </c>
      <c r="Q227">
        <v>6</v>
      </c>
      <c r="R227">
        <v>1032.47</v>
      </c>
      <c r="S227" s="6">
        <v>0.15</v>
      </c>
      <c r="T227" s="6">
        <f t="shared" si="30"/>
        <v>0.15</v>
      </c>
      <c r="U227">
        <v>5265.6</v>
      </c>
      <c r="V227">
        <f t="shared" si="31"/>
        <v>5265.5969999999998</v>
      </c>
      <c r="W227" s="6">
        <f t="shared" si="32"/>
        <v>-3.0000000006111804E-3</v>
      </c>
      <c r="X227">
        <v>4293.1099999999997</v>
      </c>
      <c r="Y227">
        <v>787.57</v>
      </c>
      <c r="Z227">
        <f t="shared" si="33"/>
        <v>972.48700000000008</v>
      </c>
      <c r="AA227" s="6">
        <f t="shared" si="34"/>
        <v>184.91700000000003</v>
      </c>
      <c r="AB227">
        <f t="shared" si="35"/>
        <v>0.18468694053114967</v>
      </c>
      <c r="AC227" t="s">
        <v>32</v>
      </c>
      <c r="AD227" t="s">
        <v>33</v>
      </c>
      <c r="AE227" t="s">
        <v>2828</v>
      </c>
    </row>
    <row r="228" spans="1:32">
      <c r="A228" t="s">
        <v>784</v>
      </c>
      <c r="B228" s="3">
        <v>45934</v>
      </c>
      <c r="C228" t="str">
        <f t="shared" si="28"/>
        <v>October</v>
      </c>
      <c r="D228">
        <f t="shared" si="29"/>
        <v>2025</v>
      </c>
      <c r="E228" s="3">
        <v>45762</v>
      </c>
      <c r="F228">
        <f t="shared" si="27"/>
        <v>-172</v>
      </c>
      <c r="G228" t="s">
        <v>785</v>
      </c>
      <c r="H228" t="s">
        <v>162</v>
      </c>
      <c r="I228" t="s">
        <v>95</v>
      </c>
      <c r="J228" t="s">
        <v>2781</v>
      </c>
      <c r="K228" t="s">
        <v>185</v>
      </c>
      <c r="L228" t="s">
        <v>186</v>
      </c>
      <c r="M228" t="s">
        <v>74</v>
      </c>
      <c r="N228" t="s">
        <v>80</v>
      </c>
      <c r="O228" t="s">
        <v>786</v>
      </c>
      <c r="P228" t="s">
        <v>44</v>
      </c>
      <c r="Q228">
        <v>1</v>
      </c>
      <c r="R228">
        <v>2208.27</v>
      </c>
      <c r="S228" s="6">
        <v>0.1</v>
      </c>
      <c r="T228" s="6">
        <f t="shared" si="30"/>
        <v>0.1</v>
      </c>
      <c r="U228">
        <v>1987.44</v>
      </c>
      <c r="V228">
        <f t="shared" si="31"/>
        <v>1987.443</v>
      </c>
      <c r="W228" s="6">
        <f t="shared" si="32"/>
        <v>2.9999999999290594E-3</v>
      </c>
      <c r="X228">
        <v>1110.23</v>
      </c>
      <c r="Y228">
        <v>877.21</v>
      </c>
      <c r="Z228">
        <f t="shared" si="33"/>
        <v>877.21299999999997</v>
      </c>
      <c r="AA228" s="6">
        <f t="shared" si="34"/>
        <v>2.9999999999290594E-3</v>
      </c>
      <c r="AB228">
        <f t="shared" si="35"/>
        <v>0.44137768982556985</v>
      </c>
      <c r="AC228" t="s">
        <v>32</v>
      </c>
      <c r="AD228" t="s">
        <v>33</v>
      </c>
      <c r="AE228" t="s">
        <v>2826</v>
      </c>
      <c r="AF228" s="10" t="s">
        <v>2790</v>
      </c>
    </row>
    <row r="229" spans="1:32">
      <c r="A229" t="s">
        <v>787</v>
      </c>
      <c r="B229" s="3">
        <v>45419</v>
      </c>
      <c r="C229" t="str">
        <f t="shared" si="28"/>
        <v>May</v>
      </c>
      <c r="D229">
        <f t="shared" si="29"/>
        <v>2024</v>
      </c>
      <c r="E229" s="3">
        <v>45633</v>
      </c>
      <c r="F229">
        <f t="shared" si="27"/>
        <v>214</v>
      </c>
      <c r="G229" t="s">
        <v>788</v>
      </c>
      <c r="H229" t="s">
        <v>62</v>
      </c>
      <c r="I229" t="s">
        <v>37</v>
      </c>
      <c r="J229" t="s">
        <v>63</v>
      </c>
      <c r="K229" t="s">
        <v>190</v>
      </c>
      <c r="L229" t="s">
        <v>191</v>
      </c>
      <c r="M229" t="s">
        <v>28</v>
      </c>
      <c r="N229" t="s">
        <v>153</v>
      </c>
      <c r="O229" t="s">
        <v>789</v>
      </c>
      <c r="P229" t="s">
        <v>50</v>
      </c>
      <c r="Q229">
        <v>3</v>
      </c>
      <c r="R229">
        <v>577.75</v>
      </c>
      <c r="S229" s="6">
        <v>0.15</v>
      </c>
      <c r="T229" s="6">
        <f t="shared" si="30"/>
        <v>0.15</v>
      </c>
      <c r="U229">
        <v>1473.26</v>
      </c>
      <c r="V229">
        <f t="shared" si="31"/>
        <v>1473.2625</v>
      </c>
      <c r="W229" s="6">
        <f t="shared" si="32"/>
        <v>2.5000000000545697E-3</v>
      </c>
      <c r="X229">
        <v>899.86</v>
      </c>
      <c r="Y229">
        <v>573.4</v>
      </c>
      <c r="Z229">
        <f t="shared" si="33"/>
        <v>573.40250000000003</v>
      </c>
      <c r="AA229" s="6">
        <f t="shared" si="34"/>
        <v>2.5000000000545697E-3</v>
      </c>
      <c r="AB229">
        <f t="shared" si="35"/>
        <v>0.38920592901808065</v>
      </c>
      <c r="AC229" t="s">
        <v>32</v>
      </c>
      <c r="AD229" t="s">
        <v>33</v>
      </c>
      <c r="AE229" t="s">
        <v>2828</v>
      </c>
    </row>
    <row r="230" spans="1:32">
      <c r="A230" t="s">
        <v>790</v>
      </c>
      <c r="B230" s="3">
        <v>45406</v>
      </c>
      <c r="C230" t="str">
        <f t="shared" si="28"/>
        <v>April</v>
      </c>
      <c r="D230">
        <f t="shared" si="29"/>
        <v>2024</v>
      </c>
      <c r="E230" s="3">
        <v>45410</v>
      </c>
      <c r="F230">
        <f t="shared" si="27"/>
        <v>4</v>
      </c>
      <c r="G230" t="s">
        <v>791</v>
      </c>
      <c r="H230" t="s">
        <v>23</v>
      </c>
      <c r="I230" t="s">
        <v>37</v>
      </c>
      <c r="J230" t="s">
        <v>54</v>
      </c>
      <c r="K230" t="s">
        <v>55</v>
      </c>
      <c r="L230" t="s">
        <v>56</v>
      </c>
      <c r="M230" t="s">
        <v>28</v>
      </c>
      <c r="N230" t="s">
        <v>91</v>
      </c>
      <c r="O230" t="s">
        <v>792</v>
      </c>
      <c r="P230" t="s">
        <v>31</v>
      </c>
      <c r="Q230">
        <v>1</v>
      </c>
      <c r="R230">
        <v>3194.37</v>
      </c>
      <c r="S230" s="6">
        <v>0.15</v>
      </c>
      <c r="T230" s="6">
        <f t="shared" si="30"/>
        <v>0.15</v>
      </c>
      <c r="U230">
        <v>2715.21</v>
      </c>
      <c r="V230">
        <f t="shared" si="31"/>
        <v>2715.2145</v>
      </c>
      <c r="W230" s="6">
        <f t="shared" si="32"/>
        <v>4.500000000007276E-3</v>
      </c>
      <c r="X230">
        <v>1551.55</v>
      </c>
      <c r="Y230">
        <v>1163.6600000000001</v>
      </c>
      <c r="Z230">
        <f t="shared" si="33"/>
        <v>1163.6645000000001</v>
      </c>
      <c r="AA230" s="6">
        <f t="shared" si="34"/>
        <v>4.500000000007276E-3</v>
      </c>
      <c r="AB230">
        <f t="shared" si="35"/>
        <v>0.42857184948003191</v>
      </c>
      <c r="AC230" t="s">
        <v>32</v>
      </c>
      <c r="AD230" t="s">
        <v>33</v>
      </c>
      <c r="AE230" t="s">
        <v>2828</v>
      </c>
    </row>
    <row r="231" spans="1:32">
      <c r="A231" t="s">
        <v>793</v>
      </c>
      <c r="B231" s="3">
        <v>45836</v>
      </c>
      <c r="C231" t="str">
        <f t="shared" si="28"/>
        <v>June</v>
      </c>
      <c r="D231">
        <f t="shared" si="29"/>
        <v>2025</v>
      </c>
      <c r="E231" s="3">
        <v>45842</v>
      </c>
      <c r="F231">
        <f t="shared" si="27"/>
        <v>6</v>
      </c>
      <c r="G231" t="s">
        <v>794</v>
      </c>
      <c r="H231" t="s">
        <v>141</v>
      </c>
      <c r="I231" t="s">
        <v>24</v>
      </c>
      <c r="J231" t="s">
        <v>54</v>
      </c>
      <c r="K231" t="s">
        <v>55</v>
      </c>
      <c r="L231" t="s">
        <v>56</v>
      </c>
      <c r="M231" t="s">
        <v>41</v>
      </c>
      <c r="N231" t="s">
        <v>158</v>
      </c>
      <c r="O231" t="s">
        <v>795</v>
      </c>
      <c r="P231" t="s">
        <v>50</v>
      </c>
      <c r="Q231">
        <v>3</v>
      </c>
      <c r="R231">
        <v>2886.23</v>
      </c>
      <c r="S231" s="6">
        <v>0</v>
      </c>
      <c r="T231" s="6">
        <f t="shared" si="30"/>
        <v>0</v>
      </c>
      <c r="U231">
        <v>8658.69</v>
      </c>
      <c r="V231">
        <f t="shared" si="31"/>
        <v>8658.69</v>
      </c>
      <c r="W231" s="6">
        <f t="shared" si="32"/>
        <v>0</v>
      </c>
      <c r="X231">
        <v>5535.94</v>
      </c>
      <c r="Y231">
        <v>3122.75</v>
      </c>
      <c r="Z231">
        <f t="shared" si="33"/>
        <v>3122.7500000000009</v>
      </c>
      <c r="AA231" s="6">
        <f t="shared" si="34"/>
        <v>0</v>
      </c>
      <c r="AB231">
        <f t="shared" si="35"/>
        <v>0.36064924370776652</v>
      </c>
      <c r="AC231" t="s">
        <v>102</v>
      </c>
      <c r="AD231" t="s">
        <v>103</v>
      </c>
      <c r="AE231" t="s">
        <v>2827</v>
      </c>
      <c r="AF231" t="s">
        <v>2807</v>
      </c>
    </row>
    <row r="232" spans="1:32">
      <c r="A232" t="s">
        <v>796</v>
      </c>
      <c r="B232" s="3">
        <v>45440</v>
      </c>
      <c r="C232" t="str">
        <f t="shared" si="28"/>
        <v>May</v>
      </c>
      <c r="D232">
        <f t="shared" si="29"/>
        <v>2024</v>
      </c>
      <c r="E232" s="3">
        <v>45357</v>
      </c>
      <c r="F232">
        <f t="shared" si="27"/>
        <v>-83</v>
      </c>
      <c r="G232" t="s">
        <v>797</v>
      </c>
      <c r="H232" t="s">
        <v>79</v>
      </c>
      <c r="I232" t="s">
        <v>37</v>
      </c>
      <c r="J232" t="s">
        <v>25</v>
      </c>
      <c r="K232" t="s">
        <v>26</v>
      </c>
      <c r="L232" t="s">
        <v>27</v>
      </c>
      <c r="M232" t="s">
        <v>28</v>
      </c>
      <c r="N232" t="s">
        <v>29</v>
      </c>
      <c r="O232" t="s">
        <v>798</v>
      </c>
      <c r="P232" t="s">
        <v>59</v>
      </c>
      <c r="Q232">
        <v>8</v>
      </c>
      <c r="R232">
        <v>1540.33</v>
      </c>
      <c r="S232" s="6">
        <v>0.1</v>
      </c>
      <c r="T232" s="6">
        <f t="shared" si="30"/>
        <v>0.1</v>
      </c>
      <c r="U232">
        <v>11090.38</v>
      </c>
      <c r="V232">
        <f t="shared" si="31"/>
        <v>11090.376</v>
      </c>
      <c r="W232" s="6">
        <f t="shared" si="32"/>
        <v>-3.9999999989959178E-3</v>
      </c>
      <c r="X232">
        <v>8840.9500000000007</v>
      </c>
      <c r="Y232">
        <v>2249.4299999999998</v>
      </c>
      <c r="Z232">
        <f t="shared" si="33"/>
        <v>2249.4259999999995</v>
      </c>
      <c r="AA232" s="6">
        <f t="shared" si="34"/>
        <v>-4.0000000003601599E-3</v>
      </c>
      <c r="AB232">
        <f t="shared" si="35"/>
        <v>0.20282684734944958</v>
      </c>
      <c r="AC232" t="s">
        <v>32</v>
      </c>
      <c r="AD232" t="s">
        <v>33</v>
      </c>
      <c r="AE232" t="s">
        <v>2826</v>
      </c>
      <c r="AF232" s="10" t="s">
        <v>2790</v>
      </c>
    </row>
    <row r="233" spans="1:32">
      <c r="A233" t="s">
        <v>799</v>
      </c>
      <c r="B233" s="3">
        <v>45327</v>
      </c>
      <c r="C233" t="str">
        <f t="shared" si="28"/>
        <v>February</v>
      </c>
      <c r="D233">
        <f t="shared" si="29"/>
        <v>2024</v>
      </c>
      <c r="E233" s="3">
        <v>45414</v>
      </c>
      <c r="F233">
        <f t="shared" si="27"/>
        <v>87</v>
      </c>
      <c r="G233" t="s">
        <v>800</v>
      </c>
      <c r="H233" t="s">
        <v>62</v>
      </c>
      <c r="I233" t="s">
        <v>90</v>
      </c>
      <c r="J233" t="s">
        <v>25</v>
      </c>
      <c r="K233" t="s">
        <v>26</v>
      </c>
      <c r="L233" t="s">
        <v>27</v>
      </c>
      <c r="M233" t="s">
        <v>28</v>
      </c>
      <c r="N233" t="s">
        <v>91</v>
      </c>
      <c r="O233" t="s">
        <v>801</v>
      </c>
      <c r="P233" t="s">
        <v>50</v>
      </c>
      <c r="Q233">
        <v>7</v>
      </c>
      <c r="R233">
        <v>2183.38</v>
      </c>
      <c r="S233" s="6">
        <v>0.25</v>
      </c>
      <c r="T233" s="6">
        <f t="shared" si="30"/>
        <v>0.25</v>
      </c>
      <c r="U233">
        <v>11462.74</v>
      </c>
      <c r="V233">
        <f t="shared" si="31"/>
        <v>11462.744999999999</v>
      </c>
      <c r="W233" s="6">
        <f t="shared" si="32"/>
        <v>4.9999999991996447E-3</v>
      </c>
      <c r="X233">
        <v>7163.54</v>
      </c>
      <c r="Y233">
        <v>4299.2</v>
      </c>
      <c r="Z233">
        <f t="shared" si="33"/>
        <v>4299.204999999999</v>
      </c>
      <c r="AA233" s="6">
        <f t="shared" si="34"/>
        <v>4.9999999991996447E-3</v>
      </c>
      <c r="AB233">
        <f t="shared" si="35"/>
        <v>0.37505894094302888</v>
      </c>
      <c r="AC233" t="s">
        <v>102</v>
      </c>
      <c r="AD233" t="s">
        <v>68</v>
      </c>
      <c r="AE233" t="s">
        <v>2827</v>
      </c>
      <c r="AF233" t="s">
        <v>2808</v>
      </c>
    </row>
    <row r="234" spans="1:32">
      <c r="A234" t="s">
        <v>802</v>
      </c>
      <c r="B234" s="3">
        <v>45753</v>
      </c>
      <c r="C234" t="str">
        <f t="shared" si="28"/>
        <v>April</v>
      </c>
      <c r="D234">
        <f t="shared" si="29"/>
        <v>2025</v>
      </c>
      <c r="E234" s="3">
        <v>45936</v>
      </c>
      <c r="F234">
        <f t="shared" si="27"/>
        <v>183</v>
      </c>
      <c r="G234" t="s">
        <v>803</v>
      </c>
      <c r="H234" t="s">
        <v>118</v>
      </c>
      <c r="I234" t="s">
        <v>24</v>
      </c>
      <c r="J234" t="s">
        <v>54</v>
      </c>
      <c r="K234" t="s">
        <v>84</v>
      </c>
      <c r="L234" t="s">
        <v>85</v>
      </c>
      <c r="M234" t="s">
        <v>74</v>
      </c>
      <c r="N234" t="s">
        <v>171</v>
      </c>
      <c r="O234" t="s">
        <v>804</v>
      </c>
      <c r="P234" t="s">
        <v>59</v>
      </c>
      <c r="Q234">
        <v>4</v>
      </c>
      <c r="R234">
        <v>223.37</v>
      </c>
      <c r="S234" s="6">
        <v>0.25</v>
      </c>
      <c r="T234" s="6">
        <f t="shared" si="30"/>
        <v>0.25</v>
      </c>
      <c r="U234">
        <v>670.11</v>
      </c>
      <c r="V234">
        <f t="shared" si="31"/>
        <v>670.11</v>
      </c>
      <c r="W234" s="6">
        <f t="shared" si="32"/>
        <v>0</v>
      </c>
      <c r="X234">
        <v>559.57000000000005</v>
      </c>
      <c r="Y234">
        <v>110.54</v>
      </c>
      <c r="Z234">
        <f t="shared" si="33"/>
        <v>110.53999999999996</v>
      </c>
      <c r="AA234" s="6">
        <f t="shared" si="34"/>
        <v>0</v>
      </c>
      <c r="AB234">
        <f t="shared" si="35"/>
        <v>0.16495799197146732</v>
      </c>
      <c r="AC234" t="s">
        <v>32</v>
      </c>
      <c r="AD234" t="s">
        <v>33</v>
      </c>
      <c r="AE234" t="s">
        <v>2828</v>
      </c>
    </row>
    <row r="235" spans="1:32">
      <c r="A235" t="s">
        <v>805</v>
      </c>
      <c r="B235" s="3">
        <v>45579</v>
      </c>
      <c r="C235" t="str">
        <f t="shared" si="28"/>
        <v>October</v>
      </c>
      <c r="D235">
        <f t="shared" si="29"/>
        <v>2024</v>
      </c>
      <c r="E235" s="3">
        <v>45579</v>
      </c>
      <c r="F235">
        <f t="shared" si="27"/>
        <v>0</v>
      </c>
      <c r="G235" t="s">
        <v>806</v>
      </c>
      <c r="H235" t="s">
        <v>71</v>
      </c>
      <c r="I235" t="s">
        <v>90</v>
      </c>
      <c r="J235" t="s">
        <v>54</v>
      </c>
      <c r="K235" t="s">
        <v>175</v>
      </c>
      <c r="L235" t="s">
        <v>176</v>
      </c>
      <c r="M235" t="s">
        <v>41</v>
      </c>
      <c r="N235" t="s">
        <v>158</v>
      </c>
      <c r="O235" t="s">
        <v>807</v>
      </c>
      <c r="P235" t="s">
        <v>2781</v>
      </c>
      <c r="Q235">
        <v>8</v>
      </c>
      <c r="R235">
        <v>3904.59</v>
      </c>
      <c r="S235" s="6">
        <v>0</v>
      </c>
      <c r="T235" s="6">
        <f t="shared" si="30"/>
        <v>0</v>
      </c>
      <c r="U235">
        <v>31236.720000000001</v>
      </c>
      <c r="V235">
        <f t="shared" si="31"/>
        <v>31236.720000000001</v>
      </c>
      <c r="W235" s="6">
        <f t="shared" si="32"/>
        <v>0</v>
      </c>
      <c r="X235">
        <v>26377.7</v>
      </c>
      <c r="Y235">
        <v>4859.0200000000004</v>
      </c>
      <c r="Z235">
        <f t="shared" si="33"/>
        <v>4859.0200000000004</v>
      </c>
      <c r="AA235" s="6">
        <f t="shared" si="34"/>
        <v>0</v>
      </c>
      <c r="AB235">
        <f t="shared" si="35"/>
        <v>0.15555474454424154</v>
      </c>
      <c r="AC235" t="s">
        <v>32</v>
      </c>
      <c r="AD235" t="s">
        <v>33</v>
      </c>
      <c r="AE235" t="s">
        <v>2827</v>
      </c>
      <c r="AF235" t="s">
        <v>2829</v>
      </c>
    </row>
    <row r="236" spans="1:32">
      <c r="A236" t="s">
        <v>808</v>
      </c>
      <c r="B236" s="3">
        <v>45537</v>
      </c>
      <c r="C236" t="str">
        <f t="shared" si="28"/>
        <v>September</v>
      </c>
      <c r="D236">
        <f t="shared" si="29"/>
        <v>2024</v>
      </c>
      <c r="E236" s="3">
        <v>45360</v>
      </c>
      <c r="F236">
        <f t="shared" si="27"/>
        <v>-177</v>
      </c>
      <c r="G236" t="s">
        <v>809</v>
      </c>
      <c r="H236" t="s">
        <v>264</v>
      </c>
      <c r="I236" t="s">
        <v>95</v>
      </c>
      <c r="J236" t="s">
        <v>25</v>
      </c>
      <c r="K236" t="s">
        <v>350</v>
      </c>
      <c r="L236" t="s">
        <v>351</v>
      </c>
      <c r="M236" t="s">
        <v>41</v>
      </c>
      <c r="N236" t="s">
        <v>57</v>
      </c>
      <c r="O236" t="s">
        <v>810</v>
      </c>
      <c r="P236" t="s">
        <v>50</v>
      </c>
      <c r="Q236">
        <v>9</v>
      </c>
      <c r="R236">
        <v>1353.61</v>
      </c>
      <c r="S236" s="6">
        <v>0.1</v>
      </c>
      <c r="T236" s="6">
        <f t="shared" si="30"/>
        <v>0.1</v>
      </c>
      <c r="U236">
        <v>10964.24</v>
      </c>
      <c r="V236">
        <f t="shared" si="31"/>
        <v>10964.241</v>
      </c>
      <c r="W236" s="6">
        <f t="shared" si="32"/>
        <v>1.0000000002037268E-3</v>
      </c>
      <c r="X236">
        <v>9262.4699999999993</v>
      </c>
      <c r="Y236">
        <v>1701.77</v>
      </c>
      <c r="Z236">
        <f t="shared" si="33"/>
        <v>1701.7710000000006</v>
      </c>
      <c r="AA236" s="6">
        <f t="shared" si="34"/>
        <v>1.0000000006584742E-3</v>
      </c>
      <c r="AB236">
        <f t="shared" si="35"/>
        <v>0.15521101734265058</v>
      </c>
      <c r="AC236" t="s">
        <v>32</v>
      </c>
      <c r="AD236" t="s">
        <v>33</v>
      </c>
      <c r="AE236" t="s">
        <v>2826</v>
      </c>
      <c r="AF236" s="10" t="s">
        <v>2790</v>
      </c>
    </row>
    <row r="237" spans="1:32">
      <c r="A237" t="s">
        <v>811</v>
      </c>
      <c r="B237" s="3">
        <v>45598</v>
      </c>
      <c r="C237" t="str">
        <f t="shared" si="28"/>
        <v>November</v>
      </c>
      <c r="D237">
        <f t="shared" si="29"/>
        <v>2024</v>
      </c>
      <c r="E237" s="3">
        <v>45599</v>
      </c>
      <c r="F237">
        <f t="shared" si="27"/>
        <v>1</v>
      </c>
      <c r="G237" t="s">
        <v>812</v>
      </c>
      <c r="H237" t="s">
        <v>118</v>
      </c>
      <c r="I237" t="s">
        <v>37</v>
      </c>
      <c r="J237" t="s">
        <v>63</v>
      </c>
      <c r="K237" t="s">
        <v>26</v>
      </c>
      <c r="L237" t="s">
        <v>109</v>
      </c>
      <c r="M237" t="s">
        <v>28</v>
      </c>
      <c r="N237" t="s">
        <v>124</v>
      </c>
      <c r="O237" t="s">
        <v>813</v>
      </c>
      <c r="P237" t="s">
        <v>59</v>
      </c>
      <c r="Q237">
        <v>6</v>
      </c>
      <c r="R237">
        <v>2671.29</v>
      </c>
      <c r="S237" s="6">
        <v>0.05</v>
      </c>
      <c r="T237" s="6">
        <f t="shared" si="30"/>
        <v>0.05</v>
      </c>
      <c r="U237">
        <v>15226.35</v>
      </c>
      <c r="V237">
        <f t="shared" si="31"/>
        <v>15226.352999999999</v>
      </c>
      <c r="W237" s="6">
        <f t="shared" si="32"/>
        <v>2.999999998792191E-3</v>
      </c>
      <c r="X237">
        <v>11145.28</v>
      </c>
      <c r="Y237">
        <v>4081.07</v>
      </c>
      <c r="Z237">
        <f t="shared" si="33"/>
        <v>4081.0729999999985</v>
      </c>
      <c r="AA237" s="6">
        <f t="shared" si="34"/>
        <v>2.9999999983374437E-3</v>
      </c>
      <c r="AB237">
        <f t="shared" si="35"/>
        <v>0.26802695300706603</v>
      </c>
      <c r="AC237" t="s">
        <v>32</v>
      </c>
      <c r="AD237" t="s">
        <v>33</v>
      </c>
      <c r="AE237" t="s">
        <v>2828</v>
      </c>
    </row>
    <row r="238" spans="1:32">
      <c r="A238" t="s">
        <v>814</v>
      </c>
      <c r="B238" s="3">
        <v>45579</v>
      </c>
      <c r="C238" t="str">
        <f t="shared" si="28"/>
        <v>October</v>
      </c>
      <c r="D238">
        <f t="shared" si="29"/>
        <v>2024</v>
      </c>
      <c r="E238" s="3">
        <v>45586</v>
      </c>
      <c r="F238">
        <f t="shared" si="27"/>
        <v>7</v>
      </c>
      <c r="G238" t="s">
        <v>815</v>
      </c>
      <c r="H238" t="s">
        <v>114</v>
      </c>
      <c r="I238" t="s">
        <v>90</v>
      </c>
      <c r="J238" t="s">
        <v>25</v>
      </c>
      <c r="K238" t="s">
        <v>136</v>
      </c>
      <c r="L238" t="s">
        <v>137</v>
      </c>
      <c r="M238" t="s">
        <v>41</v>
      </c>
      <c r="N238" t="s">
        <v>158</v>
      </c>
      <c r="O238" t="s">
        <v>816</v>
      </c>
      <c r="P238" t="s">
        <v>50</v>
      </c>
      <c r="Q238">
        <v>6</v>
      </c>
      <c r="R238">
        <v>4062.78</v>
      </c>
      <c r="S238" s="6">
        <v>0</v>
      </c>
      <c r="T238" s="6">
        <f t="shared" si="30"/>
        <v>0</v>
      </c>
      <c r="U238">
        <v>24376.68</v>
      </c>
      <c r="V238">
        <f t="shared" si="31"/>
        <v>24376.68</v>
      </c>
      <c r="W238" s="6">
        <f t="shared" si="32"/>
        <v>0</v>
      </c>
      <c r="X238">
        <v>18533.39</v>
      </c>
      <c r="Y238">
        <v>5843.29</v>
      </c>
      <c r="Z238">
        <f t="shared" si="33"/>
        <v>5843.2900000000009</v>
      </c>
      <c r="AA238" s="6">
        <f t="shared" si="34"/>
        <v>0</v>
      </c>
      <c r="AB238">
        <f t="shared" si="35"/>
        <v>0.23970819652224998</v>
      </c>
      <c r="AC238" t="s">
        <v>32</v>
      </c>
      <c r="AD238" t="s">
        <v>33</v>
      </c>
      <c r="AE238" t="s">
        <v>2828</v>
      </c>
    </row>
    <row r="239" spans="1:32">
      <c r="A239" t="s">
        <v>817</v>
      </c>
      <c r="B239" s="3">
        <v>45531</v>
      </c>
      <c r="C239" t="str">
        <f t="shared" si="28"/>
        <v>August</v>
      </c>
      <c r="D239">
        <f t="shared" si="29"/>
        <v>2024</v>
      </c>
      <c r="E239" s="3">
        <v>45531</v>
      </c>
      <c r="F239">
        <f t="shared" si="27"/>
        <v>0</v>
      </c>
      <c r="G239" t="s">
        <v>818</v>
      </c>
      <c r="H239" t="s">
        <v>36</v>
      </c>
      <c r="I239" t="s">
        <v>24</v>
      </c>
      <c r="J239" t="s">
        <v>25</v>
      </c>
      <c r="K239" t="s">
        <v>236</v>
      </c>
      <c r="L239" t="s">
        <v>237</v>
      </c>
      <c r="M239" t="s">
        <v>74</v>
      </c>
      <c r="N239" t="s">
        <v>80</v>
      </c>
      <c r="O239" t="s">
        <v>819</v>
      </c>
      <c r="P239" t="s">
        <v>59</v>
      </c>
      <c r="Q239">
        <v>9</v>
      </c>
      <c r="R239">
        <v>2330.3000000000002</v>
      </c>
      <c r="S239" s="6">
        <v>0</v>
      </c>
      <c r="T239" s="6">
        <f t="shared" si="30"/>
        <v>0</v>
      </c>
      <c r="U239">
        <v>20972.7</v>
      </c>
      <c r="V239">
        <f t="shared" si="31"/>
        <v>20972.7</v>
      </c>
      <c r="W239" s="6">
        <f t="shared" si="32"/>
        <v>0</v>
      </c>
      <c r="X239">
        <v>13504.88</v>
      </c>
      <c r="Y239">
        <v>7467.82</v>
      </c>
      <c r="Z239">
        <f t="shared" si="33"/>
        <v>7467.8200000000015</v>
      </c>
      <c r="AA239" s="6">
        <f t="shared" si="34"/>
        <v>0</v>
      </c>
      <c r="AB239">
        <f t="shared" si="35"/>
        <v>0.35607337157352181</v>
      </c>
      <c r="AC239" t="s">
        <v>32</v>
      </c>
      <c r="AD239" t="s">
        <v>33</v>
      </c>
      <c r="AE239" t="s">
        <v>2828</v>
      </c>
    </row>
    <row r="240" spans="1:32">
      <c r="A240" t="s">
        <v>820</v>
      </c>
      <c r="B240" s="3">
        <v>45303</v>
      </c>
      <c r="C240" t="str">
        <f t="shared" si="28"/>
        <v>January</v>
      </c>
      <c r="D240">
        <f t="shared" si="29"/>
        <v>2024</v>
      </c>
      <c r="E240" s="3">
        <v>45308</v>
      </c>
      <c r="F240">
        <f t="shared" si="27"/>
        <v>5</v>
      </c>
      <c r="G240" t="s">
        <v>821</v>
      </c>
      <c r="H240" t="s">
        <v>53</v>
      </c>
      <c r="I240" t="s">
        <v>24</v>
      </c>
      <c r="J240" t="s">
        <v>54</v>
      </c>
      <c r="K240" t="s">
        <v>84</v>
      </c>
      <c r="L240" t="s">
        <v>85</v>
      </c>
      <c r="M240" t="s">
        <v>28</v>
      </c>
      <c r="N240" t="s">
        <v>124</v>
      </c>
      <c r="O240" t="s">
        <v>822</v>
      </c>
      <c r="P240" t="s">
        <v>50</v>
      </c>
      <c r="Q240">
        <v>7</v>
      </c>
      <c r="R240">
        <v>4005.05</v>
      </c>
      <c r="S240" s="6">
        <v>0.55000000000000004</v>
      </c>
      <c r="T240" s="6">
        <f t="shared" si="30"/>
        <v>0.55000000000000004</v>
      </c>
      <c r="U240">
        <v>26633.58</v>
      </c>
      <c r="V240">
        <f t="shared" si="31"/>
        <v>12615.907499999999</v>
      </c>
      <c r="W240" s="6">
        <f t="shared" si="32"/>
        <v>-14017.672500000002</v>
      </c>
      <c r="X240">
        <v>18838.75</v>
      </c>
      <c r="Y240">
        <v>7794.83</v>
      </c>
      <c r="Z240">
        <f t="shared" si="33"/>
        <v>-6222.8425000000007</v>
      </c>
      <c r="AA240" s="6">
        <f t="shared" si="34"/>
        <v>-14017.672500000001</v>
      </c>
      <c r="AB240">
        <f t="shared" si="35"/>
        <v>-0.4932536561480021</v>
      </c>
      <c r="AC240" t="s">
        <v>32</v>
      </c>
      <c r="AD240" t="s">
        <v>33</v>
      </c>
      <c r="AE240" t="s">
        <v>2828</v>
      </c>
    </row>
    <row r="241" spans="1:32">
      <c r="A241" t="s">
        <v>823</v>
      </c>
      <c r="B241" s="3">
        <v>45556</v>
      </c>
      <c r="C241" t="str">
        <f t="shared" si="28"/>
        <v>September</v>
      </c>
      <c r="D241">
        <f t="shared" si="29"/>
        <v>2024</v>
      </c>
      <c r="E241" s="3">
        <v>45556</v>
      </c>
      <c r="F241">
        <f t="shared" si="27"/>
        <v>0</v>
      </c>
      <c r="G241" t="s">
        <v>824</v>
      </c>
      <c r="H241" t="s">
        <v>264</v>
      </c>
      <c r="I241" t="s">
        <v>90</v>
      </c>
      <c r="J241" t="s">
        <v>54</v>
      </c>
      <c r="K241" t="s">
        <v>175</v>
      </c>
      <c r="L241" t="s">
        <v>176</v>
      </c>
      <c r="M241" t="s">
        <v>74</v>
      </c>
      <c r="N241" t="s">
        <v>274</v>
      </c>
      <c r="O241" t="s">
        <v>825</v>
      </c>
      <c r="P241" t="s">
        <v>50</v>
      </c>
      <c r="Q241">
        <v>2</v>
      </c>
      <c r="R241">
        <v>1960.06</v>
      </c>
      <c r="S241" s="6">
        <v>0.2</v>
      </c>
      <c r="T241" s="6">
        <f t="shared" si="30"/>
        <v>0.2</v>
      </c>
      <c r="U241">
        <v>3136.1</v>
      </c>
      <c r="V241">
        <f t="shared" si="31"/>
        <v>3136.096</v>
      </c>
      <c r="W241" s="6">
        <f t="shared" si="32"/>
        <v>-3.9999999999054126E-3</v>
      </c>
      <c r="X241">
        <v>2279.4899999999998</v>
      </c>
      <c r="Y241">
        <v>856.61</v>
      </c>
      <c r="Z241">
        <f t="shared" si="33"/>
        <v>856.60600000000022</v>
      </c>
      <c r="AA241" s="6">
        <f t="shared" si="34"/>
        <v>-3.9999999997917257E-3</v>
      </c>
      <c r="AB241">
        <f t="shared" si="35"/>
        <v>0.273144061916472</v>
      </c>
      <c r="AC241" t="s">
        <v>32</v>
      </c>
      <c r="AD241" t="s">
        <v>33</v>
      </c>
      <c r="AE241" t="s">
        <v>2828</v>
      </c>
    </row>
    <row r="242" spans="1:32">
      <c r="A242" t="s">
        <v>826</v>
      </c>
      <c r="B242" s="3">
        <v>45643</v>
      </c>
      <c r="C242" t="str">
        <f t="shared" si="28"/>
        <v>December</v>
      </c>
      <c r="D242">
        <f t="shared" si="29"/>
        <v>2024</v>
      </c>
      <c r="E242" s="3">
        <v>45649</v>
      </c>
      <c r="F242">
        <f t="shared" si="27"/>
        <v>6</v>
      </c>
      <c r="G242" t="s">
        <v>827</v>
      </c>
      <c r="H242" t="s">
        <v>128</v>
      </c>
      <c r="I242" t="s">
        <v>90</v>
      </c>
      <c r="J242" t="s">
        <v>54</v>
      </c>
      <c r="K242" t="s">
        <v>55</v>
      </c>
      <c r="L242" t="s">
        <v>56</v>
      </c>
      <c r="M242" t="s">
        <v>28</v>
      </c>
      <c r="N242" t="s">
        <v>153</v>
      </c>
      <c r="O242" t="s">
        <v>828</v>
      </c>
      <c r="P242" t="s">
        <v>50</v>
      </c>
      <c r="Q242">
        <v>9</v>
      </c>
      <c r="R242">
        <v>2315.1</v>
      </c>
      <c r="S242" s="6">
        <v>0</v>
      </c>
      <c r="T242" s="6">
        <f t="shared" si="30"/>
        <v>0</v>
      </c>
      <c r="U242">
        <v>20835.900000000001</v>
      </c>
      <c r="V242">
        <f t="shared" si="31"/>
        <v>20835.899999999998</v>
      </c>
      <c r="W242" s="6">
        <f t="shared" si="32"/>
        <v>0</v>
      </c>
      <c r="X242">
        <v>13928.19</v>
      </c>
      <c r="Y242">
        <v>6907.71</v>
      </c>
      <c r="Z242">
        <f t="shared" si="33"/>
        <v>6907.7099999999973</v>
      </c>
      <c r="AA242" s="6">
        <f t="shared" si="34"/>
        <v>0</v>
      </c>
      <c r="AB242">
        <f t="shared" si="35"/>
        <v>0.33152923559817421</v>
      </c>
      <c r="AC242" t="s">
        <v>32</v>
      </c>
      <c r="AD242" t="s">
        <v>33</v>
      </c>
      <c r="AE242" t="s">
        <v>2828</v>
      </c>
    </row>
    <row r="243" spans="1:32">
      <c r="A243" t="s">
        <v>829</v>
      </c>
      <c r="B243" s="3">
        <v>45844</v>
      </c>
      <c r="C243" t="str">
        <f t="shared" si="28"/>
        <v>July</v>
      </c>
      <c r="D243">
        <f t="shared" si="29"/>
        <v>2025</v>
      </c>
      <c r="E243" s="3">
        <v>45815</v>
      </c>
      <c r="F243">
        <f t="shared" si="27"/>
        <v>-29</v>
      </c>
      <c r="G243" t="s">
        <v>830</v>
      </c>
      <c r="H243" t="s">
        <v>132</v>
      </c>
      <c r="I243" t="s">
        <v>90</v>
      </c>
      <c r="J243" t="s">
        <v>25</v>
      </c>
      <c r="K243" t="s">
        <v>236</v>
      </c>
      <c r="L243" t="s">
        <v>237</v>
      </c>
      <c r="M243" t="s">
        <v>28</v>
      </c>
      <c r="N243" t="s">
        <v>124</v>
      </c>
      <c r="O243" t="s">
        <v>831</v>
      </c>
      <c r="P243" t="s">
        <v>59</v>
      </c>
      <c r="Q243">
        <v>1</v>
      </c>
      <c r="R243">
        <v>1617.2</v>
      </c>
      <c r="S243" s="6">
        <v>0.25</v>
      </c>
      <c r="T243" s="6">
        <f t="shared" si="30"/>
        <v>0.25</v>
      </c>
      <c r="U243">
        <v>1212.9000000000001</v>
      </c>
      <c r="V243">
        <f t="shared" si="31"/>
        <v>1212.9000000000001</v>
      </c>
      <c r="W243" s="6">
        <f t="shared" si="32"/>
        <v>0</v>
      </c>
      <c r="X243">
        <v>690.52</v>
      </c>
      <c r="Y243">
        <v>522.38</v>
      </c>
      <c r="Z243">
        <f t="shared" si="33"/>
        <v>522.38000000000011</v>
      </c>
      <c r="AA243" s="6">
        <f t="shared" si="34"/>
        <v>0</v>
      </c>
      <c r="AB243">
        <f t="shared" si="35"/>
        <v>0.4306867837414462</v>
      </c>
      <c r="AC243" t="s">
        <v>111</v>
      </c>
      <c r="AD243" t="s">
        <v>103</v>
      </c>
      <c r="AE243" t="s">
        <v>2826</v>
      </c>
      <c r="AF243" s="10" t="s">
        <v>2815</v>
      </c>
    </row>
    <row r="244" spans="1:32">
      <c r="A244" t="s">
        <v>832</v>
      </c>
      <c r="B244" s="3">
        <v>45840</v>
      </c>
      <c r="C244" t="str">
        <f t="shared" si="28"/>
        <v>July</v>
      </c>
      <c r="D244">
        <f t="shared" si="29"/>
        <v>2025</v>
      </c>
      <c r="E244" s="3">
        <v>45840</v>
      </c>
      <c r="F244">
        <f t="shared" si="27"/>
        <v>0</v>
      </c>
      <c r="G244" t="s">
        <v>833</v>
      </c>
      <c r="H244" t="s">
        <v>53</v>
      </c>
      <c r="I244" t="s">
        <v>24</v>
      </c>
      <c r="J244" t="s">
        <v>25</v>
      </c>
      <c r="K244" t="s">
        <v>136</v>
      </c>
      <c r="L244" t="s">
        <v>137</v>
      </c>
      <c r="M244" t="s">
        <v>28</v>
      </c>
      <c r="N244" t="s">
        <v>48</v>
      </c>
      <c r="O244" t="s">
        <v>834</v>
      </c>
      <c r="P244" t="s">
        <v>31</v>
      </c>
      <c r="Q244">
        <v>3</v>
      </c>
      <c r="R244">
        <v>1999.24</v>
      </c>
      <c r="S244" s="6">
        <v>0.05</v>
      </c>
      <c r="T244" s="6">
        <f t="shared" si="30"/>
        <v>0.05</v>
      </c>
      <c r="U244">
        <v>5697.83</v>
      </c>
      <c r="V244">
        <f t="shared" si="31"/>
        <v>5697.8339999999998</v>
      </c>
      <c r="W244" s="6">
        <f t="shared" si="32"/>
        <v>3.9999999999054126E-3</v>
      </c>
      <c r="X244">
        <v>4251.5</v>
      </c>
      <c r="Y244">
        <v>1446.33</v>
      </c>
      <c r="Z244">
        <f t="shared" si="33"/>
        <v>1446.3339999999998</v>
      </c>
      <c r="AA244" s="6">
        <f t="shared" si="34"/>
        <v>3.9999999999054126E-3</v>
      </c>
      <c r="AB244">
        <f t="shared" si="35"/>
        <v>0.25383926593860051</v>
      </c>
      <c r="AC244" t="s">
        <v>32</v>
      </c>
      <c r="AD244" t="s">
        <v>33</v>
      </c>
      <c r="AE244" t="s">
        <v>2828</v>
      </c>
    </row>
    <row r="245" spans="1:32">
      <c r="A245" t="s">
        <v>835</v>
      </c>
      <c r="B245" s="3">
        <v>45867</v>
      </c>
      <c r="C245" t="str">
        <f t="shared" si="28"/>
        <v>July</v>
      </c>
      <c r="D245">
        <f t="shared" si="29"/>
        <v>2025</v>
      </c>
      <c r="E245" s="3">
        <v>45696</v>
      </c>
      <c r="F245">
        <f t="shared" si="27"/>
        <v>-171</v>
      </c>
      <c r="G245" t="s">
        <v>836</v>
      </c>
      <c r="H245" t="s">
        <v>132</v>
      </c>
      <c r="I245" t="s">
        <v>37</v>
      </c>
      <c r="J245" t="s">
        <v>2781</v>
      </c>
      <c r="K245" t="s">
        <v>72</v>
      </c>
      <c r="L245" t="s">
        <v>73</v>
      </c>
      <c r="M245" t="s">
        <v>74</v>
      </c>
      <c r="N245" t="s">
        <v>75</v>
      </c>
      <c r="O245" t="s">
        <v>837</v>
      </c>
      <c r="P245" t="s">
        <v>50</v>
      </c>
      <c r="Q245">
        <v>1</v>
      </c>
      <c r="R245">
        <v>4499.46</v>
      </c>
      <c r="S245" s="6">
        <v>0.1</v>
      </c>
      <c r="T245" s="6">
        <f t="shared" si="30"/>
        <v>0.1</v>
      </c>
      <c r="U245">
        <v>4049.51</v>
      </c>
      <c r="V245">
        <f t="shared" si="31"/>
        <v>4049.5140000000001</v>
      </c>
      <c r="W245" s="6">
        <f t="shared" si="32"/>
        <v>3.9999999999054126E-3</v>
      </c>
      <c r="X245">
        <v>2509.1999999999998</v>
      </c>
      <c r="Y245">
        <v>1540.31</v>
      </c>
      <c r="Z245">
        <f t="shared" si="33"/>
        <v>1540.3140000000003</v>
      </c>
      <c r="AA245" s="6">
        <f t="shared" si="34"/>
        <v>4.0000000003601599E-3</v>
      </c>
      <c r="AB245">
        <f t="shared" si="35"/>
        <v>0.38037008885510715</v>
      </c>
      <c r="AC245" t="s">
        <v>32</v>
      </c>
      <c r="AD245" t="s">
        <v>33</v>
      </c>
      <c r="AE245" t="s">
        <v>2826</v>
      </c>
      <c r="AF245" s="10" t="s">
        <v>2790</v>
      </c>
    </row>
    <row r="246" spans="1:32">
      <c r="A246" t="s">
        <v>838</v>
      </c>
      <c r="B246" s="3">
        <v>45527</v>
      </c>
      <c r="C246" t="str">
        <f t="shared" si="28"/>
        <v>August</v>
      </c>
      <c r="D246">
        <f t="shared" si="29"/>
        <v>2024</v>
      </c>
      <c r="E246" s="3">
        <v>45528</v>
      </c>
      <c r="F246">
        <f t="shared" si="27"/>
        <v>1</v>
      </c>
      <c r="G246" t="s">
        <v>839</v>
      </c>
      <c r="H246" t="s">
        <v>79</v>
      </c>
      <c r="I246" t="s">
        <v>24</v>
      </c>
      <c r="J246" t="s">
        <v>54</v>
      </c>
      <c r="K246" t="s">
        <v>55</v>
      </c>
      <c r="L246" t="s">
        <v>56</v>
      </c>
      <c r="M246" t="s">
        <v>41</v>
      </c>
      <c r="N246" t="s">
        <v>158</v>
      </c>
      <c r="O246" t="s">
        <v>840</v>
      </c>
      <c r="P246" t="s">
        <v>44</v>
      </c>
      <c r="Q246">
        <v>6</v>
      </c>
      <c r="R246">
        <v>1021.89</v>
      </c>
      <c r="S246" s="6">
        <v>0</v>
      </c>
      <c r="T246" s="6">
        <f t="shared" si="30"/>
        <v>0</v>
      </c>
      <c r="U246">
        <v>6131.34</v>
      </c>
      <c r="V246">
        <f t="shared" si="31"/>
        <v>6131.34</v>
      </c>
      <c r="W246" s="6">
        <f t="shared" si="32"/>
        <v>0</v>
      </c>
      <c r="X246">
        <v>4060.88</v>
      </c>
      <c r="Y246">
        <v>2070.46</v>
      </c>
      <c r="Z246">
        <f t="shared" si="33"/>
        <v>2070.46</v>
      </c>
      <c r="AA246" s="6">
        <f t="shared" si="34"/>
        <v>0</v>
      </c>
      <c r="AB246">
        <f t="shared" si="35"/>
        <v>0.33768474754295147</v>
      </c>
      <c r="AC246" t="s">
        <v>32</v>
      </c>
      <c r="AD246" t="s">
        <v>33</v>
      </c>
      <c r="AE246" t="s">
        <v>2828</v>
      </c>
    </row>
    <row r="247" spans="1:32">
      <c r="A247" t="s">
        <v>841</v>
      </c>
      <c r="B247" s="3">
        <v>45583</v>
      </c>
      <c r="C247" t="str">
        <f t="shared" si="28"/>
        <v>October</v>
      </c>
      <c r="D247">
        <f t="shared" si="29"/>
        <v>2024</v>
      </c>
      <c r="E247" s="3">
        <v>45589</v>
      </c>
      <c r="F247">
        <f t="shared" si="27"/>
        <v>6</v>
      </c>
      <c r="G247" t="s">
        <v>842</v>
      </c>
      <c r="H247" t="s">
        <v>79</v>
      </c>
      <c r="I247" t="s">
        <v>95</v>
      </c>
      <c r="J247" t="s">
        <v>54</v>
      </c>
      <c r="K247" t="s">
        <v>185</v>
      </c>
      <c r="L247" t="s">
        <v>186</v>
      </c>
      <c r="M247" t="s">
        <v>41</v>
      </c>
      <c r="N247" t="s">
        <v>66</v>
      </c>
      <c r="O247" t="s">
        <v>843</v>
      </c>
      <c r="P247" t="s">
        <v>31</v>
      </c>
      <c r="Q247">
        <v>3</v>
      </c>
      <c r="R247">
        <v>3275.93</v>
      </c>
      <c r="S247" s="6">
        <v>0</v>
      </c>
      <c r="T247" s="6">
        <f t="shared" si="30"/>
        <v>0</v>
      </c>
      <c r="U247">
        <v>9827.7900000000009</v>
      </c>
      <c r="V247">
        <f t="shared" si="31"/>
        <v>9827.7899999999991</v>
      </c>
      <c r="W247" s="6">
        <f t="shared" si="32"/>
        <v>0</v>
      </c>
      <c r="X247">
        <v>5478.28</v>
      </c>
      <c r="Y247">
        <v>4349.51</v>
      </c>
      <c r="Z247">
        <f t="shared" si="33"/>
        <v>4349.5099999999993</v>
      </c>
      <c r="AA247" s="6">
        <f t="shared" si="34"/>
        <v>0</v>
      </c>
      <c r="AB247">
        <f t="shared" si="35"/>
        <v>0.44257254174132737</v>
      </c>
      <c r="AC247" t="s">
        <v>32</v>
      </c>
      <c r="AD247" t="s">
        <v>33</v>
      </c>
      <c r="AE247" t="s">
        <v>2828</v>
      </c>
    </row>
    <row r="248" spans="1:32">
      <c r="A248" t="s">
        <v>844</v>
      </c>
      <c r="B248" s="3">
        <v>45387</v>
      </c>
      <c r="C248" t="str">
        <f t="shared" si="28"/>
        <v>April</v>
      </c>
      <c r="D248">
        <f t="shared" si="29"/>
        <v>2024</v>
      </c>
      <c r="E248" s="3">
        <v>45540</v>
      </c>
      <c r="F248">
        <f t="shared" si="27"/>
        <v>153</v>
      </c>
      <c r="G248" t="s">
        <v>845</v>
      </c>
      <c r="H248" t="s">
        <v>62</v>
      </c>
      <c r="I248" t="s">
        <v>90</v>
      </c>
      <c r="J248" t="s">
        <v>25</v>
      </c>
      <c r="K248" t="s">
        <v>122</v>
      </c>
      <c r="L248" t="s">
        <v>123</v>
      </c>
      <c r="M248" t="s">
        <v>74</v>
      </c>
      <c r="N248" t="s">
        <v>274</v>
      </c>
      <c r="O248" t="s">
        <v>846</v>
      </c>
      <c r="P248" t="s">
        <v>44</v>
      </c>
      <c r="Q248">
        <v>3</v>
      </c>
      <c r="R248">
        <v>231.95</v>
      </c>
      <c r="S248" s="6">
        <v>0.25</v>
      </c>
      <c r="T248" s="6">
        <f t="shared" si="30"/>
        <v>0.25</v>
      </c>
      <c r="U248">
        <v>521.89</v>
      </c>
      <c r="V248">
        <f t="shared" si="31"/>
        <v>521.88749999999993</v>
      </c>
      <c r="W248" s="6">
        <f t="shared" si="32"/>
        <v>-2.5000000000545697E-3</v>
      </c>
      <c r="X248">
        <v>444.52</v>
      </c>
      <c r="Y248">
        <v>77.37</v>
      </c>
      <c r="Z248">
        <f t="shared" si="33"/>
        <v>77.36749999999995</v>
      </c>
      <c r="AA248" s="6">
        <f t="shared" si="34"/>
        <v>-2.5000000000545697E-3</v>
      </c>
      <c r="AB248">
        <f t="shared" si="35"/>
        <v>0.14824555100476627</v>
      </c>
      <c r="AC248" t="s">
        <v>102</v>
      </c>
      <c r="AD248" t="s">
        <v>68</v>
      </c>
      <c r="AE248" t="s">
        <v>2827</v>
      </c>
      <c r="AF248" t="s">
        <v>2808</v>
      </c>
    </row>
    <row r="249" spans="1:32">
      <c r="A249" t="s">
        <v>847</v>
      </c>
      <c r="B249" s="3">
        <v>45498</v>
      </c>
      <c r="C249" t="str">
        <f t="shared" si="28"/>
        <v>July</v>
      </c>
      <c r="D249">
        <f t="shared" si="29"/>
        <v>2024</v>
      </c>
      <c r="E249" s="3">
        <v>45299</v>
      </c>
      <c r="F249">
        <f t="shared" si="27"/>
        <v>-199</v>
      </c>
      <c r="G249" t="s">
        <v>848</v>
      </c>
      <c r="H249" t="s">
        <v>118</v>
      </c>
      <c r="I249" t="s">
        <v>90</v>
      </c>
      <c r="J249" t="s">
        <v>25</v>
      </c>
      <c r="K249" t="s">
        <v>26</v>
      </c>
      <c r="L249" t="s">
        <v>27</v>
      </c>
      <c r="M249" t="s">
        <v>74</v>
      </c>
      <c r="N249" t="s">
        <v>75</v>
      </c>
      <c r="O249" t="s">
        <v>849</v>
      </c>
      <c r="P249" t="s">
        <v>31</v>
      </c>
      <c r="Q249">
        <v>8</v>
      </c>
      <c r="R249">
        <v>2493.4</v>
      </c>
      <c r="S249" s="6">
        <v>0.25</v>
      </c>
      <c r="T249" s="6">
        <f t="shared" si="30"/>
        <v>0.25</v>
      </c>
      <c r="U249">
        <v>14960.4</v>
      </c>
      <c r="V249">
        <f t="shared" si="31"/>
        <v>14960.400000000001</v>
      </c>
      <c r="W249" s="6">
        <f t="shared" si="32"/>
        <v>0</v>
      </c>
      <c r="X249">
        <v>12500.84</v>
      </c>
      <c r="Y249">
        <v>2459.56</v>
      </c>
      <c r="Z249">
        <f t="shared" si="33"/>
        <v>2459.5600000000013</v>
      </c>
      <c r="AA249" s="6">
        <f t="shared" si="34"/>
        <v>0</v>
      </c>
      <c r="AB249">
        <f t="shared" si="35"/>
        <v>0.16440469506162944</v>
      </c>
      <c r="AC249" t="s">
        <v>32</v>
      </c>
      <c r="AD249" t="s">
        <v>33</v>
      </c>
      <c r="AE249" t="s">
        <v>2826</v>
      </c>
      <c r="AF249" s="10" t="s">
        <v>2790</v>
      </c>
    </row>
    <row r="250" spans="1:32">
      <c r="A250" t="s">
        <v>850</v>
      </c>
      <c r="B250" s="3">
        <v>45445</v>
      </c>
      <c r="C250" t="str">
        <f t="shared" si="28"/>
        <v>June</v>
      </c>
      <c r="D250">
        <f t="shared" si="29"/>
        <v>2024</v>
      </c>
      <c r="E250" s="3">
        <v>45479</v>
      </c>
      <c r="F250">
        <f t="shared" si="27"/>
        <v>34</v>
      </c>
      <c r="G250" t="s">
        <v>851</v>
      </c>
      <c r="H250" t="s">
        <v>141</v>
      </c>
      <c r="I250" t="s">
        <v>95</v>
      </c>
      <c r="J250" t="s">
        <v>38</v>
      </c>
      <c r="K250" t="s">
        <v>39</v>
      </c>
      <c r="L250" t="s">
        <v>40</v>
      </c>
      <c r="M250" t="s">
        <v>28</v>
      </c>
      <c r="N250" t="s">
        <v>91</v>
      </c>
      <c r="O250" t="s">
        <v>852</v>
      </c>
      <c r="P250" t="s">
        <v>31</v>
      </c>
      <c r="Q250">
        <v>9</v>
      </c>
      <c r="R250">
        <v>787.91</v>
      </c>
      <c r="S250" s="6">
        <v>0.15</v>
      </c>
      <c r="T250" s="6">
        <f t="shared" si="30"/>
        <v>0.15</v>
      </c>
      <c r="U250">
        <v>6027.51</v>
      </c>
      <c r="V250">
        <f t="shared" si="31"/>
        <v>6027.5114999999996</v>
      </c>
      <c r="W250" s="6">
        <f t="shared" si="32"/>
        <v>1.4999999993960955E-3</v>
      </c>
      <c r="X250">
        <v>4883.82</v>
      </c>
      <c r="Y250">
        <v>1143.69</v>
      </c>
      <c r="Z250">
        <f t="shared" si="33"/>
        <v>1143.6914999999999</v>
      </c>
      <c r="AA250" s="6">
        <f t="shared" si="34"/>
        <v>1.4999999998508429E-3</v>
      </c>
      <c r="AB250">
        <f t="shared" si="35"/>
        <v>0.18974522072666306</v>
      </c>
      <c r="AC250" t="s">
        <v>32</v>
      </c>
      <c r="AD250" t="s">
        <v>33</v>
      </c>
      <c r="AE250" t="s">
        <v>2828</v>
      </c>
    </row>
    <row r="251" spans="1:32">
      <c r="A251" t="s">
        <v>853</v>
      </c>
      <c r="B251" s="3">
        <v>45870</v>
      </c>
      <c r="C251" t="str">
        <f t="shared" si="28"/>
        <v>August</v>
      </c>
      <c r="D251">
        <f t="shared" si="29"/>
        <v>2025</v>
      </c>
      <c r="E251" s="3">
        <v>45871</v>
      </c>
      <c r="F251">
        <f t="shared" si="27"/>
        <v>1</v>
      </c>
      <c r="G251" t="s">
        <v>854</v>
      </c>
      <c r="H251" t="s">
        <v>36</v>
      </c>
      <c r="I251" t="s">
        <v>90</v>
      </c>
      <c r="J251" t="s">
        <v>25</v>
      </c>
      <c r="K251" t="s">
        <v>26</v>
      </c>
      <c r="L251" t="s">
        <v>27</v>
      </c>
      <c r="M251" t="s">
        <v>41</v>
      </c>
      <c r="N251" t="s">
        <v>57</v>
      </c>
      <c r="O251" t="s">
        <v>855</v>
      </c>
      <c r="P251" t="s">
        <v>50</v>
      </c>
      <c r="Q251">
        <v>4</v>
      </c>
      <c r="R251">
        <v>2790.29</v>
      </c>
      <c r="S251" s="6">
        <v>0.2</v>
      </c>
      <c r="T251" s="6">
        <f t="shared" si="30"/>
        <v>0.2</v>
      </c>
      <c r="U251">
        <v>8928.93</v>
      </c>
      <c r="V251">
        <f t="shared" si="31"/>
        <v>8928.9279999999999</v>
      </c>
      <c r="W251" s="6">
        <f t="shared" si="32"/>
        <v>-2.0000000004074536E-3</v>
      </c>
      <c r="X251">
        <v>5634.38</v>
      </c>
      <c r="Y251">
        <v>3294.55</v>
      </c>
      <c r="Z251">
        <f t="shared" si="33"/>
        <v>3294.5479999999998</v>
      </c>
      <c r="AA251" s="6">
        <f t="shared" si="34"/>
        <v>-2.0000000004074536E-3</v>
      </c>
      <c r="AB251">
        <f t="shared" si="35"/>
        <v>0.36897464062875185</v>
      </c>
      <c r="AC251" t="s">
        <v>32</v>
      </c>
      <c r="AD251" t="s">
        <v>33</v>
      </c>
      <c r="AE251" t="s">
        <v>2828</v>
      </c>
    </row>
    <row r="252" spans="1:32">
      <c r="A252" t="s">
        <v>856</v>
      </c>
      <c r="B252" s="3">
        <v>45343</v>
      </c>
      <c r="C252" t="str">
        <f t="shared" si="28"/>
        <v>February</v>
      </c>
      <c r="D252">
        <f t="shared" si="29"/>
        <v>2024</v>
      </c>
      <c r="E252" s="3">
        <v>45349</v>
      </c>
      <c r="F252">
        <f t="shared" si="27"/>
        <v>6</v>
      </c>
      <c r="G252" t="s">
        <v>857</v>
      </c>
      <c r="H252" t="s">
        <v>53</v>
      </c>
      <c r="I252" t="s">
        <v>37</v>
      </c>
      <c r="J252" t="s">
        <v>38</v>
      </c>
      <c r="K252" t="s">
        <v>99</v>
      </c>
      <c r="L252" t="s">
        <v>100</v>
      </c>
      <c r="M252" t="s">
        <v>41</v>
      </c>
      <c r="N252" t="s">
        <v>57</v>
      </c>
      <c r="O252" t="s">
        <v>858</v>
      </c>
      <c r="P252" t="s">
        <v>59</v>
      </c>
      <c r="Q252">
        <v>5</v>
      </c>
      <c r="R252">
        <v>3373.86</v>
      </c>
      <c r="S252" s="6">
        <v>0.15</v>
      </c>
      <c r="T252" s="6">
        <f t="shared" si="30"/>
        <v>0.15</v>
      </c>
      <c r="U252">
        <v>14338.9</v>
      </c>
      <c r="V252">
        <f t="shared" si="31"/>
        <v>14338.904999999999</v>
      </c>
      <c r="W252" s="6">
        <f t="shared" si="32"/>
        <v>4.9999999991996447E-3</v>
      </c>
      <c r="X252">
        <v>11897.65</v>
      </c>
      <c r="Y252">
        <v>2441.25</v>
      </c>
      <c r="Z252">
        <f t="shared" si="33"/>
        <v>2441.2549999999992</v>
      </c>
      <c r="AA252" s="6">
        <f t="shared" si="34"/>
        <v>4.9999999991996447E-3</v>
      </c>
      <c r="AB252">
        <f t="shared" si="35"/>
        <v>0.17025393501107647</v>
      </c>
      <c r="AC252" t="s">
        <v>111</v>
      </c>
      <c r="AD252" t="s">
        <v>103</v>
      </c>
      <c r="AE252" t="s">
        <v>2827</v>
      </c>
      <c r="AF252" t="s">
        <v>2814</v>
      </c>
    </row>
    <row r="253" spans="1:32">
      <c r="A253" t="s">
        <v>859</v>
      </c>
      <c r="B253" s="3">
        <v>45812</v>
      </c>
      <c r="C253" t="str">
        <f t="shared" si="28"/>
        <v>June</v>
      </c>
      <c r="D253">
        <f t="shared" si="29"/>
        <v>2025</v>
      </c>
      <c r="E253" s="3">
        <v>45757</v>
      </c>
      <c r="F253">
        <f t="shared" si="27"/>
        <v>-55</v>
      </c>
      <c r="G253" t="s">
        <v>860</v>
      </c>
      <c r="H253" t="s">
        <v>62</v>
      </c>
      <c r="I253" t="s">
        <v>90</v>
      </c>
      <c r="J253" t="s">
        <v>63</v>
      </c>
      <c r="K253" t="s">
        <v>180</v>
      </c>
      <c r="L253" t="s">
        <v>181</v>
      </c>
      <c r="M253" t="s">
        <v>41</v>
      </c>
      <c r="N253" t="s">
        <v>42</v>
      </c>
      <c r="O253" t="s">
        <v>861</v>
      </c>
      <c r="P253" t="s">
        <v>31</v>
      </c>
      <c r="Q253">
        <v>6</v>
      </c>
      <c r="R253">
        <v>1022.16</v>
      </c>
      <c r="S253" s="6">
        <v>0</v>
      </c>
      <c r="T253" s="6">
        <f t="shared" si="30"/>
        <v>0</v>
      </c>
      <c r="U253">
        <v>6132.96</v>
      </c>
      <c r="V253">
        <f t="shared" si="31"/>
        <v>6132.96</v>
      </c>
      <c r="W253" s="6">
        <f t="shared" si="32"/>
        <v>0</v>
      </c>
      <c r="X253">
        <v>4881.1000000000004</v>
      </c>
      <c r="Y253">
        <v>1251.8599999999999</v>
      </c>
      <c r="Z253">
        <f t="shared" si="33"/>
        <v>1251.8599999999997</v>
      </c>
      <c r="AA253" s="6">
        <f t="shared" si="34"/>
        <v>0</v>
      </c>
      <c r="AB253">
        <f t="shared" si="35"/>
        <v>0.20412003339333692</v>
      </c>
      <c r="AC253" t="s">
        <v>32</v>
      </c>
      <c r="AD253" t="s">
        <v>33</v>
      </c>
      <c r="AE253" t="s">
        <v>2826</v>
      </c>
      <c r="AF253" s="10" t="s">
        <v>2790</v>
      </c>
    </row>
    <row r="254" spans="1:32">
      <c r="A254" t="s">
        <v>862</v>
      </c>
      <c r="B254" s="3">
        <v>45833</v>
      </c>
      <c r="C254" t="str">
        <f t="shared" si="28"/>
        <v>June</v>
      </c>
      <c r="D254">
        <f t="shared" si="29"/>
        <v>2025</v>
      </c>
      <c r="E254" s="3">
        <v>45836</v>
      </c>
      <c r="F254">
        <f t="shared" si="27"/>
        <v>3</v>
      </c>
      <c r="G254" t="s">
        <v>863</v>
      </c>
      <c r="H254" t="s">
        <v>53</v>
      </c>
      <c r="I254" t="s">
        <v>90</v>
      </c>
      <c r="J254" t="s">
        <v>25</v>
      </c>
      <c r="K254" t="s">
        <v>236</v>
      </c>
      <c r="L254" t="s">
        <v>237</v>
      </c>
      <c r="M254" t="s">
        <v>28</v>
      </c>
      <c r="N254" t="s">
        <v>124</v>
      </c>
      <c r="O254" t="s">
        <v>864</v>
      </c>
      <c r="P254" t="s">
        <v>50</v>
      </c>
      <c r="Q254">
        <v>2</v>
      </c>
      <c r="R254">
        <v>1455.92</v>
      </c>
      <c r="S254" s="6">
        <v>0.2</v>
      </c>
      <c r="T254" s="6">
        <f t="shared" si="30"/>
        <v>0.2</v>
      </c>
      <c r="U254">
        <v>2329.4699999999998</v>
      </c>
      <c r="V254">
        <f t="shared" si="31"/>
        <v>2329.4720000000002</v>
      </c>
      <c r="W254" s="6">
        <f t="shared" si="32"/>
        <v>2.0000000004074536E-3</v>
      </c>
      <c r="X254">
        <v>1603.62</v>
      </c>
      <c r="Y254">
        <v>725.85</v>
      </c>
      <c r="Z254">
        <f t="shared" si="33"/>
        <v>725.85200000000032</v>
      </c>
      <c r="AA254" s="6">
        <f t="shared" si="34"/>
        <v>2.0000000002937668E-3</v>
      </c>
      <c r="AB254">
        <f t="shared" si="35"/>
        <v>0.31159507390515973</v>
      </c>
      <c r="AC254" t="s">
        <v>111</v>
      </c>
      <c r="AD254" t="s">
        <v>103</v>
      </c>
      <c r="AE254" t="s">
        <v>2827</v>
      </c>
      <c r="AF254" t="s">
        <v>2814</v>
      </c>
    </row>
    <row r="255" spans="1:32">
      <c r="A255" t="s">
        <v>865</v>
      </c>
      <c r="B255" s="3">
        <v>45635</v>
      </c>
      <c r="C255" t="str">
        <f t="shared" si="28"/>
        <v>December</v>
      </c>
      <c r="D255">
        <f t="shared" si="29"/>
        <v>2024</v>
      </c>
      <c r="E255" s="3">
        <v>45548</v>
      </c>
      <c r="F255">
        <f t="shared" si="27"/>
        <v>-87</v>
      </c>
      <c r="G255" t="s">
        <v>866</v>
      </c>
      <c r="H255" t="s">
        <v>114</v>
      </c>
      <c r="I255" t="s">
        <v>37</v>
      </c>
      <c r="J255" t="s">
        <v>25</v>
      </c>
      <c r="K255" t="s">
        <v>26</v>
      </c>
      <c r="L255" t="s">
        <v>27</v>
      </c>
      <c r="M255" t="s">
        <v>74</v>
      </c>
      <c r="N255" t="s">
        <v>171</v>
      </c>
      <c r="O255" t="s">
        <v>867</v>
      </c>
      <c r="P255" t="s">
        <v>44</v>
      </c>
      <c r="Q255">
        <v>6</v>
      </c>
      <c r="R255">
        <v>832.79</v>
      </c>
      <c r="S255" s="6">
        <v>0.05</v>
      </c>
      <c r="T255" s="6">
        <f t="shared" si="30"/>
        <v>0.05</v>
      </c>
      <c r="U255">
        <v>4746.8999999999996</v>
      </c>
      <c r="V255">
        <f t="shared" si="31"/>
        <v>4746.9029999999993</v>
      </c>
      <c r="W255" s="6">
        <f t="shared" si="32"/>
        <v>2.9999999997016857E-3</v>
      </c>
      <c r="X255">
        <v>2825.38</v>
      </c>
      <c r="Y255">
        <v>1472.89</v>
      </c>
      <c r="Z255">
        <f t="shared" si="33"/>
        <v>1921.5229999999992</v>
      </c>
      <c r="AA255" s="6">
        <f t="shared" si="34"/>
        <v>448.63299999999913</v>
      </c>
      <c r="AB255">
        <f t="shared" si="35"/>
        <v>0.40479508428969363</v>
      </c>
      <c r="AC255" t="s">
        <v>102</v>
      </c>
      <c r="AD255" t="s">
        <v>68</v>
      </c>
      <c r="AE255" t="s">
        <v>2826</v>
      </c>
      <c r="AF255" s="10" t="s">
        <v>2813</v>
      </c>
    </row>
    <row r="256" spans="1:32">
      <c r="A256" t="s">
        <v>868</v>
      </c>
      <c r="B256" s="3">
        <v>45658</v>
      </c>
      <c r="C256" t="str">
        <f t="shared" si="28"/>
        <v>January</v>
      </c>
      <c r="D256">
        <f t="shared" si="29"/>
        <v>2025</v>
      </c>
      <c r="E256" s="3">
        <v>45717</v>
      </c>
      <c r="F256">
        <f t="shared" si="27"/>
        <v>59</v>
      </c>
      <c r="G256" t="s">
        <v>869</v>
      </c>
      <c r="H256" t="s">
        <v>62</v>
      </c>
      <c r="I256" t="s">
        <v>24</v>
      </c>
      <c r="J256" t="s">
        <v>63</v>
      </c>
      <c r="K256" t="s">
        <v>72</v>
      </c>
      <c r="L256" t="s">
        <v>73</v>
      </c>
      <c r="M256" t="s">
        <v>74</v>
      </c>
      <c r="N256" t="s">
        <v>75</v>
      </c>
      <c r="O256" t="s">
        <v>870</v>
      </c>
      <c r="P256" t="s">
        <v>44</v>
      </c>
      <c r="Q256">
        <v>7</v>
      </c>
      <c r="R256">
        <v>1000.55</v>
      </c>
      <c r="S256" s="6">
        <v>0.2</v>
      </c>
      <c r="T256" s="6">
        <f t="shared" si="30"/>
        <v>0.2</v>
      </c>
      <c r="U256">
        <v>5603.08</v>
      </c>
      <c r="V256">
        <f t="shared" si="31"/>
        <v>5603.08</v>
      </c>
      <c r="W256" s="6">
        <f t="shared" si="32"/>
        <v>0</v>
      </c>
      <c r="X256">
        <v>3132.52</v>
      </c>
      <c r="Y256">
        <v>2470.56</v>
      </c>
      <c r="Z256">
        <f t="shared" si="33"/>
        <v>2470.56</v>
      </c>
      <c r="AA256" s="6">
        <f t="shared" si="34"/>
        <v>0</v>
      </c>
      <c r="AB256">
        <f t="shared" si="35"/>
        <v>0.44092891766671188</v>
      </c>
      <c r="AC256" t="s">
        <v>32</v>
      </c>
      <c r="AD256" t="s">
        <v>103</v>
      </c>
      <c r="AE256" t="s">
        <v>2827</v>
      </c>
      <c r="AF256" t="s">
        <v>103</v>
      </c>
    </row>
    <row r="257" spans="1:32">
      <c r="A257" t="s">
        <v>871</v>
      </c>
      <c r="B257" s="3">
        <v>45749</v>
      </c>
      <c r="C257" t="str">
        <f t="shared" si="28"/>
        <v>April</v>
      </c>
      <c r="D257">
        <f t="shared" si="29"/>
        <v>2025</v>
      </c>
      <c r="E257" s="3">
        <v>45698</v>
      </c>
      <c r="F257">
        <f t="shared" si="27"/>
        <v>-51</v>
      </c>
      <c r="G257" t="s">
        <v>872</v>
      </c>
      <c r="H257" t="s">
        <v>47</v>
      </c>
      <c r="I257" t="s">
        <v>90</v>
      </c>
      <c r="J257" t="s">
        <v>63</v>
      </c>
      <c r="K257" t="s">
        <v>64</v>
      </c>
      <c r="L257" t="s">
        <v>65</v>
      </c>
      <c r="M257" t="s">
        <v>74</v>
      </c>
      <c r="N257" t="s">
        <v>171</v>
      </c>
      <c r="O257" t="s">
        <v>873</v>
      </c>
      <c r="P257" t="s">
        <v>50</v>
      </c>
      <c r="Q257">
        <v>7</v>
      </c>
      <c r="R257">
        <v>1830</v>
      </c>
      <c r="S257" s="6">
        <v>0</v>
      </c>
      <c r="T257" s="6">
        <f t="shared" si="30"/>
        <v>0</v>
      </c>
      <c r="U257">
        <v>12810</v>
      </c>
      <c r="V257">
        <f t="shared" si="31"/>
        <v>12810</v>
      </c>
      <c r="W257" s="6">
        <f t="shared" si="32"/>
        <v>0</v>
      </c>
      <c r="X257">
        <v>9334.1200000000008</v>
      </c>
      <c r="Y257">
        <v>3475.88</v>
      </c>
      <c r="Z257">
        <f t="shared" si="33"/>
        <v>3475.8799999999992</v>
      </c>
      <c r="AA257" s="6">
        <f t="shared" si="34"/>
        <v>0</v>
      </c>
      <c r="AB257">
        <f t="shared" si="35"/>
        <v>0.27134113973458229</v>
      </c>
      <c r="AC257" t="s">
        <v>32</v>
      </c>
      <c r="AD257" t="s">
        <v>33</v>
      </c>
      <c r="AE257" t="s">
        <v>2826</v>
      </c>
      <c r="AF257" s="10" t="s">
        <v>2790</v>
      </c>
    </row>
    <row r="258" spans="1:32">
      <c r="A258" t="s">
        <v>874</v>
      </c>
      <c r="B258" s="3">
        <v>45423</v>
      </c>
      <c r="C258" t="str">
        <f t="shared" si="28"/>
        <v>May</v>
      </c>
      <c r="D258">
        <f t="shared" si="29"/>
        <v>2024</v>
      </c>
      <c r="E258" s="3">
        <v>45362</v>
      </c>
      <c r="F258">
        <f t="shared" ref="F258:F321" si="36">E258-B258</f>
        <v>-61</v>
      </c>
      <c r="G258" t="s">
        <v>875</v>
      </c>
      <c r="H258" t="s">
        <v>62</v>
      </c>
      <c r="I258" t="s">
        <v>24</v>
      </c>
      <c r="J258" t="s">
        <v>38</v>
      </c>
      <c r="K258" t="s">
        <v>99</v>
      </c>
      <c r="L258" t="s">
        <v>100</v>
      </c>
      <c r="M258" t="s">
        <v>41</v>
      </c>
      <c r="N258" t="s">
        <v>42</v>
      </c>
      <c r="O258" t="s">
        <v>876</v>
      </c>
      <c r="P258" t="s">
        <v>50</v>
      </c>
      <c r="Q258">
        <v>9</v>
      </c>
      <c r="R258">
        <v>2260.61</v>
      </c>
      <c r="S258" s="6">
        <v>0.05</v>
      </c>
      <c r="T258" s="6">
        <f t="shared" si="30"/>
        <v>0.05</v>
      </c>
      <c r="U258">
        <v>19328.22</v>
      </c>
      <c r="V258">
        <f t="shared" si="31"/>
        <v>19328.215500000002</v>
      </c>
      <c r="W258" s="6">
        <f t="shared" si="32"/>
        <v>-4.4999999990977813E-3</v>
      </c>
      <c r="X258">
        <v>12039.5</v>
      </c>
      <c r="Y258">
        <v>7288.72</v>
      </c>
      <c r="Z258">
        <f t="shared" si="33"/>
        <v>7288.7155000000021</v>
      </c>
      <c r="AA258" s="6">
        <f t="shared" si="34"/>
        <v>-4.4999999981882866E-3</v>
      </c>
      <c r="AB258">
        <f t="shared" si="35"/>
        <v>0.3771023507058891</v>
      </c>
      <c r="AC258" t="s">
        <v>32</v>
      </c>
      <c r="AD258" t="s">
        <v>33</v>
      </c>
      <c r="AE258" t="s">
        <v>2826</v>
      </c>
      <c r="AF258" s="10" t="s">
        <v>2790</v>
      </c>
    </row>
    <row r="259" spans="1:32">
      <c r="A259" t="s">
        <v>877</v>
      </c>
      <c r="B259" s="3">
        <v>45908</v>
      </c>
      <c r="C259" t="str">
        <f t="shared" ref="C259:C322" si="37">TEXT(B259, "mmmm")</f>
        <v>September</v>
      </c>
      <c r="D259">
        <f t="shared" ref="D259:D322" si="38">YEAR(B259)</f>
        <v>2025</v>
      </c>
      <c r="E259" s="3">
        <v>45999</v>
      </c>
      <c r="F259">
        <f t="shared" si="36"/>
        <v>91</v>
      </c>
      <c r="G259" t="s">
        <v>878</v>
      </c>
      <c r="H259" t="s">
        <v>162</v>
      </c>
      <c r="I259" t="s">
        <v>90</v>
      </c>
      <c r="J259" t="s">
        <v>54</v>
      </c>
      <c r="K259" t="s">
        <v>175</v>
      </c>
      <c r="L259" t="s">
        <v>176</v>
      </c>
      <c r="M259" t="s">
        <v>74</v>
      </c>
      <c r="N259" t="s">
        <v>75</v>
      </c>
      <c r="O259" t="s">
        <v>879</v>
      </c>
      <c r="P259" t="s">
        <v>31</v>
      </c>
      <c r="Q259">
        <v>2</v>
      </c>
      <c r="R259">
        <v>3237.27</v>
      </c>
      <c r="S259" s="6">
        <v>0</v>
      </c>
      <c r="T259" s="6">
        <f t="shared" ref="T259:T322" si="39">ABS(S259)</f>
        <v>0</v>
      </c>
      <c r="U259">
        <v>6474.54</v>
      </c>
      <c r="V259">
        <f t="shared" ref="V259:V322" si="40">Q259*R259*(1-T259)</f>
        <v>6474.54</v>
      </c>
      <c r="W259" s="6">
        <f t="shared" ref="W259:W322" si="41">V259-U259</f>
        <v>0</v>
      </c>
      <c r="X259">
        <v>5095.91</v>
      </c>
      <c r="Y259">
        <v>1378.63</v>
      </c>
      <c r="Z259">
        <f t="shared" ref="Z259:Z322" si="42">V259-X259</f>
        <v>1378.63</v>
      </c>
      <c r="AA259" s="6">
        <f t="shared" ref="AA259:AA322" si="43">Z259-Y259</f>
        <v>0</v>
      </c>
      <c r="AB259">
        <f t="shared" ref="AB259:AB322" si="44">Z259/V259</f>
        <v>0.21293095725719513</v>
      </c>
      <c r="AC259" t="s">
        <v>32</v>
      </c>
      <c r="AD259" t="s">
        <v>68</v>
      </c>
      <c r="AE259" t="s">
        <v>2827</v>
      </c>
      <c r="AF259" t="s">
        <v>2795</v>
      </c>
    </row>
    <row r="260" spans="1:32">
      <c r="A260" t="s">
        <v>880</v>
      </c>
      <c r="B260" s="3">
        <v>45656</v>
      </c>
      <c r="C260" t="str">
        <f t="shared" si="37"/>
        <v>December</v>
      </c>
      <c r="D260">
        <f t="shared" si="38"/>
        <v>2024</v>
      </c>
      <c r="E260" s="3">
        <v>45748</v>
      </c>
      <c r="F260">
        <f t="shared" si="36"/>
        <v>92</v>
      </c>
      <c r="G260" t="s">
        <v>881</v>
      </c>
      <c r="H260" t="s">
        <v>132</v>
      </c>
      <c r="I260" t="s">
        <v>90</v>
      </c>
      <c r="J260" t="s">
        <v>54</v>
      </c>
      <c r="K260" t="s">
        <v>247</v>
      </c>
      <c r="L260" t="s">
        <v>248</v>
      </c>
      <c r="M260" t="s">
        <v>41</v>
      </c>
      <c r="N260" t="s">
        <v>42</v>
      </c>
      <c r="O260" t="s">
        <v>882</v>
      </c>
      <c r="P260" t="s">
        <v>44</v>
      </c>
      <c r="Q260">
        <v>2</v>
      </c>
      <c r="R260">
        <v>3720.07</v>
      </c>
      <c r="S260" s="6">
        <v>0.25</v>
      </c>
      <c r="T260" s="6">
        <f t="shared" si="39"/>
        <v>0.25</v>
      </c>
      <c r="U260">
        <v>5580.11</v>
      </c>
      <c r="V260">
        <f t="shared" si="40"/>
        <v>5580.1050000000005</v>
      </c>
      <c r="W260" s="6">
        <f t="shared" si="41"/>
        <v>-4.9999999991996447E-3</v>
      </c>
      <c r="X260">
        <v>4307.01</v>
      </c>
      <c r="Y260">
        <v>1273.0999999999999</v>
      </c>
      <c r="Z260">
        <f t="shared" si="42"/>
        <v>1273.0950000000003</v>
      </c>
      <c r="AA260" s="6">
        <f t="shared" si="43"/>
        <v>-4.999999999654392E-3</v>
      </c>
      <c r="AB260">
        <f t="shared" si="44"/>
        <v>0.22814893268137429</v>
      </c>
      <c r="AC260" t="s">
        <v>32</v>
      </c>
      <c r="AD260" t="s">
        <v>33</v>
      </c>
      <c r="AE260" t="s">
        <v>2828</v>
      </c>
    </row>
    <row r="261" spans="1:32">
      <c r="A261" t="s">
        <v>883</v>
      </c>
      <c r="B261" s="3">
        <v>45464</v>
      </c>
      <c r="C261" t="str">
        <f t="shared" si="37"/>
        <v>June</v>
      </c>
      <c r="D261">
        <f t="shared" si="38"/>
        <v>2024</v>
      </c>
      <c r="E261" s="3">
        <v>45472</v>
      </c>
      <c r="F261">
        <f t="shared" si="36"/>
        <v>8</v>
      </c>
      <c r="G261" t="s">
        <v>884</v>
      </c>
      <c r="H261" t="s">
        <v>79</v>
      </c>
      <c r="I261" t="s">
        <v>24</v>
      </c>
      <c r="J261" t="s">
        <v>54</v>
      </c>
      <c r="K261" t="s">
        <v>247</v>
      </c>
      <c r="L261" t="s">
        <v>248</v>
      </c>
      <c r="M261" t="s">
        <v>74</v>
      </c>
      <c r="N261" t="s">
        <v>274</v>
      </c>
      <c r="O261" t="s">
        <v>885</v>
      </c>
      <c r="P261" t="s">
        <v>59</v>
      </c>
      <c r="Q261">
        <v>8</v>
      </c>
      <c r="R261">
        <v>2853.92</v>
      </c>
      <c r="S261" s="6">
        <v>0.2</v>
      </c>
      <c r="T261" s="6">
        <f t="shared" si="39"/>
        <v>0.2</v>
      </c>
      <c r="U261">
        <v>18265.09</v>
      </c>
      <c r="V261">
        <f t="shared" si="40"/>
        <v>18265.088</v>
      </c>
      <c r="W261" s="6">
        <f t="shared" si="41"/>
        <v>-2.0000000004074536E-3</v>
      </c>
      <c r="X261">
        <v>10437.14</v>
      </c>
      <c r="Y261">
        <v>7827.95</v>
      </c>
      <c r="Z261">
        <f t="shared" si="42"/>
        <v>7827.9480000000003</v>
      </c>
      <c r="AA261" s="6">
        <f t="shared" si="43"/>
        <v>-1.9999999994979589E-3</v>
      </c>
      <c r="AB261">
        <f t="shared" si="44"/>
        <v>0.42857433810338064</v>
      </c>
      <c r="AC261" t="s">
        <v>32</v>
      </c>
      <c r="AD261" t="s">
        <v>33</v>
      </c>
      <c r="AE261" t="s">
        <v>2828</v>
      </c>
    </row>
    <row r="262" spans="1:32">
      <c r="A262" t="s">
        <v>886</v>
      </c>
      <c r="B262" s="3">
        <v>45923</v>
      </c>
      <c r="C262" t="str">
        <f t="shared" si="37"/>
        <v>September</v>
      </c>
      <c r="D262">
        <f t="shared" si="38"/>
        <v>2025</v>
      </c>
      <c r="E262" s="3">
        <v>45927</v>
      </c>
      <c r="F262">
        <f t="shared" si="36"/>
        <v>4</v>
      </c>
      <c r="G262" t="s">
        <v>887</v>
      </c>
      <c r="H262" t="s">
        <v>89</v>
      </c>
      <c r="I262" t="s">
        <v>90</v>
      </c>
      <c r="J262" t="s">
        <v>38</v>
      </c>
      <c r="K262" t="s">
        <v>99</v>
      </c>
      <c r="L262" t="s">
        <v>100</v>
      </c>
      <c r="M262" t="s">
        <v>28</v>
      </c>
      <c r="N262" t="s">
        <v>153</v>
      </c>
      <c r="O262" t="s">
        <v>888</v>
      </c>
      <c r="P262" t="s">
        <v>44</v>
      </c>
      <c r="Q262">
        <v>7</v>
      </c>
      <c r="R262">
        <v>2897.12</v>
      </c>
      <c r="S262" s="6">
        <v>0.25</v>
      </c>
      <c r="T262" s="6">
        <f t="shared" si="39"/>
        <v>0.25</v>
      </c>
      <c r="U262">
        <v>15209.88</v>
      </c>
      <c r="V262">
        <f t="shared" si="40"/>
        <v>15209.880000000001</v>
      </c>
      <c r="W262" s="6">
        <f t="shared" si="41"/>
        <v>0</v>
      </c>
      <c r="X262">
        <v>10891.15</v>
      </c>
      <c r="Y262">
        <v>4318.7299999999996</v>
      </c>
      <c r="Z262">
        <f t="shared" si="42"/>
        <v>4318.7300000000014</v>
      </c>
      <c r="AA262" s="6">
        <f t="shared" si="43"/>
        <v>0</v>
      </c>
      <c r="AB262">
        <f t="shared" si="44"/>
        <v>0.28394241111698454</v>
      </c>
      <c r="AC262" t="s">
        <v>155</v>
      </c>
      <c r="AD262" t="s">
        <v>103</v>
      </c>
      <c r="AE262" t="s">
        <v>2827</v>
      </c>
      <c r="AF262" s="10" t="s">
        <v>2821</v>
      </c>
    </row>
    <row r="263" spans="1:32">
      <c r="A263" t="s">
        <v>889</v>
      </c>
      <c r="B263" s="3">
        <v>45826</v>
      </c>
      <c r="C263" t="str">
        <f t="shared" si="37"/>
        <v>June</v>
      </c>
      <c r="D263">
        <f t="shared" si="38"/>
        <v>2025</v>
      </c>
      <c r="E263" s="3">
        <v>45832</v>
      </c>
      <c r="F263">
        <f t="shared" si="36"/>
        <v>6</v>
      </c>
      <c r="G263" t="s">
        <v>890</v>
      </c>
      <c r="H263" t="s">
        <v>132</v>
      </c>
      <c r="I263" t="s">
        <v>90</v>
      </c>
      <c r="J263" t="s">
        <v>25</v>
      </c>
      <c r="K263" t="s">
        <v>26</v>
      </c>
      <c r="L263" t="s">
        <v>27</v>
      </c>
      <c r="M263" t="s">
        <v>28</v>
      </c>
      <c r="N263" t="s">
        <v>91</v>
      </c>
      <c r="O263" t="s">
        <v>891</v>
      </c>
      <c r="P263" t="s">
        <v>59</v>
      </c>
      <c r="Q263">
        <v>3</v>
      </c>
      <c r="R263">
        <v>686.74</v>
      </c>
      <c r="S263" s="6">
        <v>0.2</v>
      </c>
      <c r="T263" s="6">
        <f t="shared" si="39"/>
        <v>0.2</v>
      </c>
      <c r="U263">
        <v>1648.18</v>
      </c>
      <c r="V263">
        <f t="shared" si="40"/>
        <v>1648.1760000000004</v>
      </c>
      <c r="W263" s="6">
        <f t="shared" si="41"/>
        <v>-3.9999999996780389E-3</v>
      </c>
      <c r="X263">
        <v>987.91</v>
      </c>
      <c r="Y263">
        <v>660.27</v>
      </c>
      <c r="Z263">
        <f t="shared" si="42"/>
        <v>660.26600000000042</v>
      </c>
      <c r="AA263" s="6">
        <f t="shared" si="43"/>
        <v>-3.999999999564352E-3</v>
      </c>
      <c r="AB263">
        <f t="shared" si="44"/>
        <v>0.40060406170214846</v>
      </c>
      <c r="AC263" t="s">
        <v>155</v>
      </c>
      <c r="AD263" t="s">
        <v>68</v>
      </c>
      <c r="AE263" t="s">
        <v>2827</v>
      </c>
      <c r="AF263" s="10" t="s">
        <v>2796</v>
      </c>
    </row>
    <row r="264" spans="1:32">
      <c r="A264" t="s">
        <v>892</v>
      </c>
      <c r="B264" s="3">
        <v>45803</v>
      </c>
      <c r="C264" t="str">
        <f t="shared" si="37"/>
        <v>May</v>
      </c>
      <c r="D264">
        <f t="shared" si="38"/>
        <v>2025</v>
      </c>
      <c r="E264" s="3">
        <v>45663</v>
      </c>
      <c r="F264">
        <f t="shared" si="36"/>
        <v>-140</v>
      </c>
      <c r="G264" t="s">
        <v>628</v>
      </c>
      <c r="H264" t="s">
        <v>53</v>
      </c>
      <c r="I264" t="s">
        <v>37</v>
      </c>
      <c r="J264" t="s">
        <v>25</v>
      </c>
      <c r="K264" t="s">
        <v>350</v>
      </c>
      <c r="L264" t="s">
        <v>351</v>
      </c>
      <c r="M264" t="s">
        <v>74</v>
      </c>
      <c r="N264" t="s">
        <v>171</v>
      </c>
      <c r="O264" t="s">
        <v>893</v>
      </c>
      <c r="P264" t="s">
        <v>44</v>
      </c>
      <c r="Q264">
        <v>4</v>
      </c>
      <c r="R264">
        <v>3349.86</v>
      </c>
      <c r="S264" s="6">
        <v>0</v>
      </c>
      <c r="T264" s="6">
        <f t="shared" si="39"/>
        <v>0</v>
      </c>
      <c r="U264">
        <v>13399.44</v>
      </c>
      <c r="V264">
        <f t="shared" si="40"/>
        <v>13399.44</v>
      </c>
      <c r="W264" s="6">
        <f t="shared" si="41"/>
        <v>0</v>
      </c>
      <c r="X264">
        <v>8581.35</v>
      </c>
      <c r="Y264">
        <v>4818.09</v>
      </c>
      <c r="Z264">
        <f t="shared" si="42"/>
        <v>4818.09</v>
      </c>
      <c r="AA264" s="6">
        <f t="shared" si="43"/>
        <v>0</v>
      </c>
      <c r="AB264">
        <f t="shared" si="44"/>
        <v>0.3595739821962709</v>
      </c>
      <c r="AC264" t="s">
        <v>111</v>
      </c>
      <c r="AD264" t="s">
        <v>103</v>
      </c>
      <c r="AE264" t="s">
        <v>2826</v>
      </c>
      <c r="AF264" s="10" t="s">
        <v>2815</v>
      </c>
    </row>
    <row r="265" spans="1:32">
      <c r="A265" t="s">
        <v>894</v>
      </c>
      <c r="B265" s="3">
        <v>45816</v>
      </c>
      <c r="C265" t="str">
        <f t="shared" si="37"/>
        <v>June</v>
      </c>
      <c r="D265">
        <f t="shared" si="38"/>
        <v>2025</v>
      </c>
      <c r="E265" s="3">
        <v>45938</v>
      </c>
      <c r="F265">
        <f t="shared" si="36"/>
        <v>122</v>
      </c>
      <c r="G265" t="s">
        <v>895</v>
      </c>
      <c r="H265" t="s">
        <v>141</v>
      </c>
      <c r="I265" t="s">
        <v>37</v>
      </c>
      <c r="J265" t="s">
        <v>25</v>
      </c>
      <c r="K265" t="s">
        <v>350</v>
      </c>
      <c r="L265" t="s">
        <v>351</v>
      </c>
      <c r="M265" t="s">
        <v>28</v>
      </c>
      <c r="N265" t="s">
        <v>153</v>
      </c>
      <c r="O265" t="s">
        <v>896</v>
      </c>
      <c r="P265" t="s">
        <v>31</v>
      </c>
      <c r="Q265">
        <v>9</v>
      </c>
      <c r="R265">
        <v>4042.45</v>
      </c>
      <c r="S265" s="6">
        <v>0.1</v>
      </c>
      <c r="T265" s="6">
        <f t="shared" si="39"/>
        <v>0.1</v>
      </c>
      <c r="U265">
        <v>32743.84</v>
      </c>
      <c r="V265">
        <f t="shared" si="40"/>
        <v>32743.844999999998</v>
      </c>
      <c r="W265" s="6">
        <f t="shared" si="41"/>
        <v>4.9999999973806553E-3</v>
      </c>
      <c r="X265">
        <v>22452.05</v>
      </c>
      <c r="Y265">
        <v>10291.790000000001</v>
      </c>
      <c r="Z265">
        <f t="shared" si="42"/>
        <v>10291.794999999998</v>
      </c>
      <c r="AA265" s="6">
        <f t="shared" si="43"/>
        <v>4.9999999973806553E-3</v>
      </c>
      <c r="AB265">
        <f t="shared" si="44"/>
        <v>0.314312353970647</v>
      </c>
      <c r="AC265" t="s">
        <v>111</v>
      </c>
      <c r="AD265" t="s">
        <v>103</v>
      </c>
      <c r="AE265" t="s">
        <v>2827</v>
      </c>
      <c r="AF265" t="s">
        <v>2814</v>
      </c>
    </row>
    <row r="266" spans="1:32">
      <c r="A266" t="s">
        <v>897</v>
      </c>
      <c r="B266" s="3">
        <v>45428</v>
      </c>
      <c r="C266" t="str">
        <f t="shared" si="37"/>
        <v>May</v>
      </c>
      <c r="D266">
        <f t="shared" si="38"/>
        <v>2024</v>
      </c>
      <c r="E266" s="3">
        <v>45433</v>
      </c>
      <c r="F266">
        <f t="shared" si="36"/>
        <v>5</v>
      </c>
      <c r="G266" t="s">
        <v>898</v>
      </c>
      <c r="H266" t="s">
        <v>162</v>
      </c>
      <c r="I266" t="s">
        <v>37</v>
      </c>
      <c r="J266" t="s">
        <v>38</v>
      </c>
      <c r="K266" t="s">
        <v>145</v>
      </c>
      <c r="L266" t="s">
        <v>146</v>
      </c>
      <c r="M266" t="s">
        <v>74</v>
      </c>
      <c r="N266" t="s">
        <v>80</v>
      </c>
      <c r="O266" t="s">
        <v>899</v>
      </c>
      <c r="P266" t="s">
        <v>59</v>
      </c>
      <c r="Q266">
        <v>4</v>
      </c>
      <c r="R266">
        <v>1503.07</v>
      </c>
      <c r="S266" s="6">
        <v>0</v>
      </c>
      <c r="T266" s="6">
        <f t="shared" si="39"/>
        <v>0</v>
      </c>
      <c r="U266">
        <v>6012.28</v>
      </c>
      <c r="V266">
        <f t="shared" si="40"/>
        <v>6012.28</v>
      </c>
      <c r="W266" s="6">
        <f t="shared" si="41"/>
        <v>0</v>
      </c>
      <c r="X266">
        <v>3927.64</v>
      </c>
      <c r="Y266">
        <v>2084.64</v>
      </c>
      <c r="Z266">
        <f t="shared" si="42"/>
        <v>2084.64</v>
      </c>
      <c r="AA266" s="6">
        <f t="shared" si="43"/>
        <v>0</v>
      </c>
      <c r="AB266">
        <f t="shared" si="44"/>
        <v>0.34673035853286938</v>
      </c>
      <c r="AC266" t="s">
        <v>32</v>
      </c>
      <c r="AD266" t="s">
        <v>33</v>
      </c>
      <c r="AE266" t="s">
        <v>2828</v>
      </c>
    </row>
    <row r="267" spans="1:32">
      <c r="A267" t="s">
        <v>900</v>
      </c>
      <c r="B267" s="3">
        <v>45610</v>
      </c>
      <c r="C267" t="str">
        <f t="shared" si="37"/>
        <v>November</v>
      </c>
      <c r="D267">
        <f t="shared" si="38"/>
        <v>2024</v>
      </c>
      <c r="E267" s="3">
        <v>45618</v>
      </c>
      <c r="F267">
        <f t="shared" si="36"/>
        <v>8</v>
      </c>
      <c r="G267" t="s">
        <v>901</v>
      </c>
      <c r="H267" t="s">
        <v>114</v>
      </c>
      <c r="I267" t="s">
        <v>90</v>
      </c>
      <c r="J267" t="s">
        <v>38</v>
      </c>
      <c r="K267" t="s">
        <v>145</v>
      </c>
      <c r="L267" t="s">
        <v>146</v>
      </c>
      <c r="M267" t="s">
        <v>41</v>
      </c>
      <c r="N267" t="s">
        <v>158</v>
      </c>
      <c r="O267" t="s">
        <v>902</v>
      </c>
      <c r="P267" t="s">
        <v>44</v>
      </c>
      <c r="Q267">
        <v>1</v>
      </c>
      <c r="R267">
        <v>582.37</v>
      </c>
      <c r="S267" s="6">
        <v>0.15</v>
      </c>
      <c r="T267" s="6">
        <f t="shared" si="39"/>
        <v>0.15</v>
      </c>
      <c r="U267">
        <v>495.01</v>
      </c>
      <c r="V267">
        <f t="shared" si="40"/>
        <v>495.0145</v>
      </c>
      <c r="W267" s="6">
        <f t="shared" si="41"/>
        <v>4.500000000007276E-3</v>
      </c>
      <c r="X267">
        <v>285.13</v>
      </c>
      <c r="Y267">
        <v>209.88</v>
      </c>
      <c r="Z267">
        <f t="shared" si="42"/>
        <v>209.8845</v>
      </c>
      <c r="AA267" s="6">
        <f t="shared" si="43"/>
        <v>4.500000000007276E-3</v>
      </c>
      <c r="AB267">
        <f t="shared" si="44"/>
        <v>0.42399667080459258</v>
      </c>
      <c r="AC267" t="s">
        <v>102</v>
      </c>
      <c r="AD267" t="s">
        <v>68</v>
      </c>
      <c r="AE267" t="s">
        <v>2827</v>
      </c>
      <c r="AF267" t="s">
        <v>2808</v>
      </c>
    </row>
    <row r="268" spans="1:32">
      <c r="A268" t="s">
        <v>903</v>
      </c>
      <c r="B268" s="3">
        <v>45721</v>
      </c>
      <c r="C268" t="str">
        <f t="shared" si="37"/>
        <v>March</v>
      </c>
      <c r="D268">
        <f t="shared" si="38"/>
        <v>2025</v>
      </c>
      <c r="E268" s="3">
        <v>45935</v>
      </c>
      <c r="F268">
        <f t="shared" si="36"/>
        <v>214</v>
      </c>
      <c r="G268" t="s">
        <v>904</v>
      </c>
      <c r="H268" t="s">
        <v>79</v>
      </c>
      <c r="I268" t="s">
        <v>95</v>
      </c>
      <c r="J268" t="s">
        <v>63</v>
      </c>
      <c r="K268" t="s">
        <v>64</v>
      </c>
      <c r="L268" t="s">
        <v>65</v>
      </c>
      <c r="M268" t="s">
        <v>28</v>
      </c>
      <c r="N268" t="s">
        <v>124</v>
      </c>
      <c r="O268" t="s">
        <v>905</v>
      </c>
      <c r="P268" t="s">
        <v>31</v>
      </c>
      <c r="Q268">
        <v>3</v>
      </c>
      <c r="R268">
        <v>4339.24</v>
      </c>
      <c r="S268" s="6">
        <v>0</v>
      </c>
      <c r="T268" s="6">
        <f t="shared" si="39"/>
        <v>0</v>
      </c>
      <c r="U268">
        <v>13017.72</v>
      </c>
      <c r="V268">
        <f t="shared" si="40"/>
        <v>13017.72</v>
      </c>
      <c r="W268" s="6">
        <f t="shared" si="41"/>
        <v>0</v>
      </c>
      <c r="X268">
        <v>10170.57</v>
      </c>
      <c r="Y268">
        <v>2847.15</v>
      </c>
      <c r="Z268">
        <f t="shared" si="42"/>
        <v>2847.1499999999996</v>
      </c>
      <c r="AA268" s="6">
        <f t="shared" si="43"/>
        <v>0</v>
      </c>
      <c r="AB268">
        <f t="shared" si="44"/>
        <v>0.21871341525244051</v>
      </c>
      <c r="AC268" t="s">
        <v>32</v>
      </c>
      <c r="AD268" t="s">
        <v>33</v>
      </c>
      <c r="AE268" t="s">
        <v>2828</v>
      </c>
    </row>
    <row r="269" spans="1:32">
      <c r="A269" t="s">
        <v>906</v>
      </c>
      <c r="B269" s="3">
        <v>45805</v>
      </c>
      <c r="C269" t="str">
        <f t="shared" si="37"/>
        <v>May</v>
      </c>
      <c r="D269">
        <f t="shared" si="38"/>
        <v>2025</v>
      </c>
      <c r="E269" s="3">
        <v>45753</v>
      </c>
      <c r="F269">
        <f t="shared" si="36"/>
        <v>-52</v>
      </c>
      <c r="G269" t="s">
        <v>907</v>
      </c>
      <c r="H269" t="s">
        <v>162</v>
      </c>
      <c r="I269" t="s">
        <v>90</v>
      </c>
      <c r="J269" t="s">
        <v>38</v>
      </c>
      <c r="K269" t="s">
        <v>228</v>
      </c>
      <c r="L269" t="s">
        <v>229</v>
      </c>
      <c r="M269" t="s">
        <v>41</v>
      </c>
      <c r="N269" t="s">
        <v>57</v>
      </c>
      <c r="O269" t="s">
        <v>908</v>
      </c>
      <c r="P269" t="s">
        <v>50</v>
      </c>
      <c r="Q269">
        <v>4</v>
      </c>
      <c r="R269">
        <v>261.8</v>
      </c>
      <c r="S269" s="6">
        <v>0.25</v>
      </c>
      <c r="T269" s="6">
        <f t="shared" si="39"/>
        <v>0.25</v>
      </c>
      <c r="U269">
        <v>785.4</v>
      </c>
      <c r="V269">
        <f t="shared" si="40"/>
        <v>785.40000000000009</v>
      </c>
      <c r="W269" s="6">
        <f t="shared" si="41"/>
        <v>0</v>
      </c>
      <c r="X269">
        <v>557.22</v>
      </c>
      <c r="Y269">
        <v>228.18</v>
      </c>
      <c r="Z269">
        <f t="shared" si="42"/>
        <v>228.18000000000006</v>
      </c>
      <c r="AA269" s="6">
        <f t="shared" si="43"/>
        <v>0</v>
      </c>
      <c r="AB269">
        <f t="shared" si="44"/>
        <v>0.29052711993888469</v>
      </c>
      <c r="AC269" t="s">
        <v>32</v>
      </c>
      <c r="AD269" t="s">
        <v>33</v>
      </c>
      <c r="AE269" t="s">
        <v>2826</v>
      </c>
      <c r="AF269" s="10" t="s">
        <v>2790</v>
      </c>
    </row>
    <row r="270" spans="1:32">
      <c r="A270" t="s">
        <v>909</v>
      </c>
      <c r="B270" s="3">
        <v>45886</v>
      </c>
      <c r="C270" t="str">
        <f t="shared" si="37"/>
        <v>August</v>
      </c>
      <c r="D270">
        <f t="shared" si="38"/>
        <v>2025</v>
      </c>
      <c r="E270" s="3">
        <v>45886</v>
      </c>
      <c r="F270">
        <f t="shared" si="36"/>
        <v>0</v>
      </c>
      <c r="G270" t="s">
        <v>910</v>
      </c>
      <c r="H270" t="s">
        <v>128</v>
      </c>
      <c r="I270" t="s">
        <v>95</v>
      </c>
      <c r="J270" t="s">
        <v>25</v>
      </c>
      <c r="K270" t="s">
        <v>122</v>
      </c>
      <c r="L270" t="s">
        <v>123</v>
      </c>
      <c r="M270" t="s">
        <v>74</v>
      </c>
      <c r="N270" t="s">
        <v>75</v>
      </c>
      <c r="O270" t="s">
        <v>911</v>
      </c>
      <c r="P270" t="s">
        <v>50</v>
      </c>
      <c r="Q270">
        <v>7</v>
      </c>
      <c r="R270">
        <v>632.20000000000005</v>
      </c>
      <c r="S270" s="6">
        <v>0.25</v>
      </c>
      <c r="T270" s="6">
        <f t="shared" si="39"/>
        <v>0.25</v>
      </c>
      <c r="U270">
        <v>3319.05</v>
      </c>
      <c r="V270">
        <f t="shared" si="40"/>
        <v>3319.05</v>
      </c>
      <c r="W270" s="6">
        <f t="shared" si="41"/>
        <v>0</v>
      </c>
      <c r="X270">
        <v>2124.6</v>
      </c>
      <c r="Y270">
        <v>1194.45</v>
      </c>
      <c r="Z270">
        <f t="shared" si="42"/>
        <v>1194.4500000000003</v>
      </c>
      <c r="AA270" s="6">
        <f t="shared" si="43"/>
        <v>0</v>
      </c>
      <c r="AB270">
        <f t="shared" si="44"/>
        <v>0.35987707325891449</v>
      </c>
      <c r="AC270" t="s">
        <v>32</v>
      </c>
      <c r="AD270" t="s">
        <v>33</v>
      </c>
      <c r="AE270" t="s">
        <v>2828</v>
      </c>
    </row>
    <row r="271" spans="1:32">
      <c r="A271" t="s">
        <v>912</v>
      </c>
      <c r="B271" s="3">
        <v>45698</v>
      </c>
      <c r="C271" t="str">
        <f t="shared" si="37"/>
        <v>February</v>
      </c>
      <c r="D271">
        <f t="shared" si="38"/>
        <v>2025</v>
      </c>
      <c r="E271" s="3">
        <v>45700</v>
      </c>
      <c r="F271">
        <f t="shared" si="36"/>
        <v>2</v>
      </c>
      <c r="G271" t="s">
        <v>913</v>
      </c>
      <c r="H271" t="s">
        <v>118</v>
      </c>
      <c r="I271" t="s">
        <v>37</v>
      </c>
      <c r="J271" t="s">
        <v>63</v>
      </c>
      <c r="K271" t="s">
        <v>26</v>
      </c>
      <c r="L271" t="s">
        <v>109</v>
      </c>
      <c r="M271" t="s">
        <v>41</v>
      </c>
      <c r="N271" t="s">
        <v>42</v>
      </c>
      <c r="O271" t="s">
        <v>914</v>
      </c>
      <c r="P271" t="s">
        <v>44</v>
      </c>
      <c r="Q271">
        <v>1</v>
      </c>
      <c r="R271">
        <v>1925.86</v>
      </c>
      <c r="S271" s="6">
        <v>0</v>
      </c>
      <c r="T271" s="6">
        <f t="shared" si="39"/>
        <v>0</v>
      </c>
      <c r="U271">
        <v>1925.86</v>
      </c>
      <c r="V271">
        <f t="shared" si="40"/>
        <v>1925.86</v>
      </c>
      <c r="W271" s="6">
        <f t="shared" si="41"/>
        <v>0</v>
      </c>
      <c r="X271">
        <v>1321.89</v>
      </c>
      <c r="Y271">
        <v>603.97</v>
      </c>
      <c r="Z271">
        <f t="shared" si="42"/>
        <v>603.9699999999998</v>
      </c>
      <c r="AA271" s="6">
        <f t="shared" si="43"/>
        <v>0</v>
      </c>
      <c r="AB271">
        <f t="shared" si="44"/>
        <v>0.31361054282242729</v>
      </c>
      <c r="AC271" t="s">
        <v>32</v>
      </c>
      <c r="AD271" t="s">
        <v>33</v>
      </c>
      <c r="AE271" t="s">
        <v>2828</v>
      </c>
    </row>
    <row r="272" spans="1:32">
      <c r="A272" t="s">
        <v>915</v>
      </c>
      <c r="B272" s="3">
        <v>45303</v>
      </c>
      <c r="C272" t="str">
        <f t="shared" si="37"/>
        <v>January</v>
      </c>
      <c r="D272">
        <f t="shared" si="38"/>
        <v>2024</v>
      </c>
      <c r="E272" s="3">
        <v>45304</v>
      </c>
      <c r="F272">
        <f t="shared" si="36"/>
        <v>1</v>
      </c>
      <c r="G272" t="s">
        <v>916</v>
      </c>
      <c r="H272" t="s">
        <v>89</v>
      </c>
      <c r="I272" t="s">
        <v>90</v>
      </c>
      <c r="J272" t="s">
        <v>25</v>
      </c>
      <c r="K272" t="s">
        <v>136</v>
      </c>
      <c r="L272" t="s">
        <v>137</v>
      </c>
      <c r="M272" t="s">
        <v>74</v>
      </c>
      <c r="N272" t="s">
        <v>274</v>
      </c>
      <c r="O272" t="s">
        <v>917</v>
      </c>
      <c r="P272" t="s">
        <v>44</v>
      </c>
      <c r="Q272">
        <v>3</v>
      </c>
      <c r="R272">
        <v>827.44</v>
      </c>
      <c r="S272" s="6">
        <v>0</v>
      </c>
      <c r="T272" s="6">
        <f t="shared" si="39"/>
        <v>0</v>
      </c>
      <c r="U272">
        <v>2482.3200000000002</v>
      </c>
      <c r="V272">
        <f t="shared" si="40"/>
        <v>2482.3200000000002</v>
      </c>
      <c r="W272" s="6">
        <f t="shared" si="41"/>
        <v>0</v>
      </c>
      <c r="X272">
        <v>1520.21</v>
      </c>
      <c r="Y272">
        <v>962.11</v>
      </c>
      <c r="Z272">
        <f t="shared" si="42"/>
        <v>962.11000000000013</v>
      </c>
      <c r="AA272" s="6">
        <f t="shared" si="43"/>
        <v>0</v>
      </c>
      <c r="AB272">
        <f t="shared" si="44"/>
        <v>0.38758500112797706</v>
      </c>
      <c r="AC272" t="s">
        <v>32</v>
      </c>
      <c r="AD272" t="s">
        <v>33</v>
      </c>
      <c r="AE272" t="s">
        <v>2828</v>
      </c>
    </row>
    <row r="273" spans="1:32">
      <c r="A273" t="s">
        <v>918</v>
      </c>
      <c r="B273" s="3">
        <v>45647</v>
      </c>
      <c r="C273" t="str">
        <f t="shared" si="37"/>
        <v>December</v>
      </c>
      <c r="D273">
        <f t="shared" si="38"/>
        <v>2024</v>
      </c>
      <c r="E273" s="3">
        <v>45651</v>
      </c>
      <c r="F273">
        <f t="shared" si="36"/>
        <v>4</v>
      </c>
      <c r="G273" t="s">
        <v>919</v>
      </c>
      <c r="H273" t="s">
        <v>89</v>
      </c>
      <c r="I273" t="s">
        <v>24</v>
      </c>
      <c r="J273" t="s">
        <v>54</v>
      </c>
      <c r="K273" t="s">
        <v>55</v>
      </c>
      <c r="L273" t="s">
        <v>56</v>
      </c>
      <c r="M273" t="s">
        <v>28</v>
      </c>
      <c r="N273" t="s">
        <v>153</v>
      </c>
      <c r="O273" t="s">
        <v>920</v>
      </c>
      <c r="P273" t="s">
        <v>59</v>
      </c>
      <c r="Q273">
        <v>7</v>
      </c>
      <c r="R273">
        <v>1667.75</v>
      </c>
      <c r="S273" s="6">
        <v>0</v>
      </c>
      <c r="T273" s="6">
        <f t="shared" si="39"/>
        <v>0</v>
      </c>
      <c r="U273">
        <v>11674.25</v>
      </c>
      <c r="V273">
        <f t="shared" si="40"/>
        <v>11674.25</v>
      </c>
      <c r="W273" s="6">
        <f t="shared" si="41"/>
        <v>0</v>
      </c>
      <c r="X273">
        <v>9621.19</v>
      </c>
      <c r="Y273">
        <v>2053.06</v>
      </c>
      <c r="Z273">
        <f t="shared" si="42"/>
        <v>2053.0599999999995</v>
      </c>
      <c r="AA273" s="6">
        <f t="shared" si="43"/>
        <v>0</v>
      </c>
      <c r="AB273">
        <f t="shared" si="44"/>
        <v>0.17586226095894808</v>
      </c>
      <c r="AC273" t="s">
        <v>155</v>
      </c>
      <c r="AD273" t="s">
        <v>68</v>
      </c>
      <c r="AE273" t="s">
        <v>2827</v>
      </c>
      <c r="AF273" s="10" t="s">
        <v>2796</v>
      </c>
    </row>
    <row r="274" spans="1:32">
      <c r="A274" t="s">
        <v>921</v>
      </c>
      <c r="B274" s="3">
        <v>45522</v>
      </c>
      <c r="C274" t="str">
        <f t="shared" si="37"/>
        <v>August</v>
      </c>
      <c r="D274">
        <f t="shared" si="38"/>
        <v>2024</v>
      </c>
      <c r="E274" s="3">
        <v>45528</v>
      </c>
      <c r="F274">
        <f t="shared" si="36"/>
        <v>6</v>
      </c>
      <c r="G274" t="s">
        <v>922</v>
      </c>
      <c r="H274" t="s">
        <v>53</v>
      </c>
      <c r="I274" t="s">
        <v>24</v>
      </c>
      <c r="J274" t="s">
        <v>54</v>
      </c>
      <c r="K274" t="s">
        <v>84</v>
      </c>
      <c r="L274" t="s">
        <v>85</v>
      </c>
      <c r="M274" t="s">
        <v>41</v>
      </c>
      <c r="N274" t="s">
        <v>66</v>
      </c>
      <c r="O274" t="s">
        <v>923</v>
      </c>
      <c r="P274" t="s">
        <v>50</v>
      </c>
      <c r="Q274">
        <v>7</v>
      </c>
      <c r="R274">
        <v>557.21</v>
      </c>
      <c r="S274" s="6">
        <v>0.1</v>
      </c>
      <c r="T274" s="6">
        <f t="shared" si="39"/>
        <v>0.1</v>
      </c>
      <c r="U274">
        <v>3510.42</v>
      </c>
      <c r="V274">
        <f t="shared" si="40"/>
        <v>3510.4230000000002</v>
      </c>
      <c r="W274" s="6">
        <f t="shared" si="41"/>
        <v>3.0000000001564331E-3</v>
      </c>
      <c r="X274">
        <v>2191.5</v>
      </c>
      <c r="Y274">
        <v>1213.48</v>
      </c>
      <c r="Z274">
        <f t="shared" si="42"/>
        <v>1318.9230000000002</v>
      </c>
      <c r="AA274" s="6">
        <f t="shared" si="43"/>
        <v>105.44300000000021</v>
      </c>
      <c r="AB274">
        <f t="shared" si="44"/>
        <v>0.37571625983535323</v>
      </c>
      <c r="AC274" t="s">
        <v>32</v>
      </c>
      <c r="AD274" t="s">
        <v>33</v>
      </c>
      <c r="AE274" t="s">
        <v>2826</v>
      </c>
      <c r="AF274" s="10" t="s">
        <v>2800</v>
      </c>
    </row>
    <row r="275" spans="1:32">
      <c r="A275" t="s">
        <v>924</v>
      </c>
      <c r="B275" s="3">
        <v>45701</v>
      </c>
      <c r="C275" t="str">
        <f t="shared" si="37"/>
        <v>February</v>
      </c>
      <c r="D275">
        <f t="shared" si="38"/>
        <v>2025</v>
      </c>
      <c r="E275" s="3">
        <v>45701</v>
      </c>
      <c r="F275">
        <f t="shared" si="36"/>
        <v>0</v>
      </c>
      <c r="G275" t="s">
        <v>925</v>
      </c>
      <c r="H275" t="s">
        <v>47</v>
      </c>
      <c r="I275" t="s">
        <v>24</v>
      </c>
      <c r="J275" t="s">
        <v>38</v>
      </c>
      <c r="K275" t="s">
        <v>145</v>
      </c>
      <c r="L275" t="s">
        <v>146</v>
      </c>
      <c r="M275" t="s">
        <v>28</v>
      </c>
      <c r="N275" t="s">
        <v>29</v>
      </c>
      <c r="O275" t="s">
        <v>926</v>
      </c>
      <c r="P275" t="s">
        <v>31</v>
      </c>
      <c r="Q275">
        <v>9</v>
      </c>
      <c r="R275">
        <v>2521.63</v>
      </c>
      <c r="S275" s="6">
        <v>0</v>
      </c>
      <c r="T275" s="6">
        <f t="shared" si="39"/>
        <v>0</v>
      </c>
      <c r="U275">
        <v>22694.67</v>
      </c>
      <c r="V275">
        <f t="shared" si="40"/>
        <v>22694.670000000002</v>
      </c>
      <c r="W275" s="6">
        <f t="shared" si="41"/>
        <v>0</v>
      </c>
      <c r="X275">
        <v>15405.36</v>
      </c>
      <c r="Y275">
        <v>7289.31</v>
      </c>
      <c r="Z275">
        <f t="shared" si="42"/>
        <v>7289.3100000000013</v>
      </c>
      <c r="AA275" s="6">
        <f t="shared" si="43"/>
        <v>0</v>
      </c>
      <c r="AB275">
        <f t="shared" si="44"/>
        <v>0.32119039404406413</v>
      </c>
      <c r="AC275" t="s">
        <v>32</v>
      </c>
      <c r="AD275" t="s">
        <v>103</v>
      </c>
      <c r="AE275" t="s">
        <v>2827</v>
      </c>
      <c r="AF275" t="s">
        <v>103</v>
      </c>
    </row>
    <row r="276" spans="1:32">
      <c r="A276" t="s">
        <v>927</v>
      </c>
      <c r="B276" s="3">
        <v>45477</v>
      </c>
      <c r="C276" t="str">
        <f t="shared" si="37"/>
        <v>July</v>
      </c>
      <c r="D276">
        <f t="shared" si="38"/>
        <v>2024</v>
      </c>
      <c r="E276" s="3">
        <v>45396</v>
      </c>
      <c r="F276">
        <f t="shared" si="36"/>
        <v>-81</v>
      </c>
      <c r="G276" t="s">
        <v>928</v>
      </c>
      <c r="H276" t="s">
        <v>141</v>
      </c>
      <c r="I276" t="s">
        <v>24</v>
      </c>
      <c r="J276" t="s">
        <v>54</v>
      </c>
      <c r="K276" t="s">
        <v>185</v>
      </c>
      <c r="L276" t="s">
        <v>186</v>
      </c>
      <c r="M276" t="s">
        <v>74</v>
      </c>
      <c r="N276" t="s">
        <v>80</v>
      </c>
      <c r="O276" t="s">
        <v>929</v>
      </c>
      <c r="P276" t="s">
        <v>59</v>
      </c>
      <c r="Q276">
        <v>6</v>
      </c>
      <c r="R276">
        <v>4246.71</v>
      </c>
      <c r="S276" s="6">
        <v>0.15</v>
      </c>
      <c r="T276" s="6">
        <f t="shared" si="39"/>
        <v>0.15</v>
      </c>
      <c r="U276">
        <v>21658.22</v>
      </c>
      <c r="V276">
        <f t="shared" si="40"/>
        <v>21658.221000000001</v>
      </c>
      <c r="W276" s="6">
        <f t="shared" si="41"/>
        <v>1.0000000002037268E-3</v>
      </c>
      <c r="X276">
        <v>15490.69</v>
      </c>
      <c r="Y276">
        <v>6167.53</v>
      </c>
      <c r="Z276">
        <f t="shared" si="42"/>
        <v>6167.5310000000009</v>
      </c>
      <c r="AA276" s="6">
        <f t="shared" si="43"/>
        <v>1.0000000011132215E-3</v>
      </c>
      <c r="AB276">
        <f t="shared" si="44"/>
        <v>0.28476627881856043</v>
      </c>
      <c r="AC276" t="s">
        <v>155</v>
      </c>
      <c r="AD276" t="s">
        <v>103</v>
      </c>
      <c r="AE276" t="s">
        <v>2826</v>
      </c>
      <c r="AF276" s="10" t="s">
        <v>2816</v>
      </c>
    </row>
    <row r="277" spans="1:32">
      <c r="A277" t="s">
        <v>930</v>
      </c>
      <c r="B277" s="3">
        <v>45337</v>
      </c>
      <c r="C277" t="str">
        <f t="shared" si="37"/>
        <v>February</v>
      </c>
      <c r="D277">
        <f t="shared" si="38"/>
        <v>2024</v>
      </c>
      <c r="E277" s="3">
        <v>45344</v>
      </c>
      <c r="F277">
        <f t="shared" si="36"/>
        <v>7</v>
      </c>
      <c r="G277" t="s">
        <v>931</v>
      </c>
      <c r="H277" t="s">
        <v>114</v>
      </c>
      <c r="I277" t="s">
        <v>37</v>
      </c>
      <c r="J277" t="s">
        <v>38</v>
      </c>
      <c r="K277" t="s">
        <v>99</v>
      </c>
      <c r="L277" t="s">
        <v>100</v>
      </c>
      <c r="M277" t="s">
        <v>41</v>
      </c>
      <c r="N277" t="s">
        <v>57</v>
      </c>
      <c r="O277" t="s">
        <v>932</v>
      </c>
      <c r="P277" t="s">
        <v>44</v>
      </c>
      <c r="Q277">
        <v>1</v>
      </c>
      <c r="R277">
        <v>980.51</v>
      </c>
      <c r="S277" s="6">
        <v>0</v>
      </c>
      <c r="T277" s="6">
        <f t="shared" si="39"/>
        <v>0</v>
      </c>
      <c r="U277">
        <v>980.51</v>
      </c>
      <c r="V277">
        <f t="shared" si="40"/>
        <v>980.51</v>
      </c>
      <c r="W277" s="6">
        <f t="shared" si="41"/>
        <v>0</v>
      </c>
      <c r="X277">
        <v>660.92</v>
      </c>
      <c r="Y277">
        <v>319.58999999999997</v>
      </c>
      <c r="Z277">
        <f t="shared" si="42"/>
        <v>319.59000000000003</v>
      </c>
      <c r="AA277" s="6">
        <f t="shared" si="43"/>
        <v>0</v>
      </c>
      <c r="AB277">
        <f t="shared" si="44"/>
        <v>0.32594262169687205</v>
      </c>
      <c r="AC277" t="s">
        <v>32</v>
      </c>
      <c r="AD277" t="s">
        <v>33</v>
      </c>
      <c r="AE277" t="s">
        <v>2828</v>
      </c>
    </row>
    <row r="278" spans="1:32">
      <c r="A278" t="s">
        <v>933</v>
      </c>
      <c r="B278" s="3">
        <v>45313</v>
      </c>
      <c r="C278" t="str">
        <f t="shared" si="37"/>
        <v>January</v>
      </c>
      <c r="D278">
        <f t="shared" si="38"/>
        <v>2024</v>
      </c>
      <c r="E278" s="3">
        <v>45314</v>
      </c>
      <c r="F278">
        <f t="shared" si="36"/>
        <v>1</v>
      </c>
      <c r="G278" t="s">
        <v>934</v>
      </c>
      <c r="H278" t="s">
        <v>128</v>
      </c>
      <c r="I278" t="s">
        <v>37</v>
      </c>
      <c r="J278" t="s">
        <v>2781</v>
      </c>
      <c r="K278" t="s">
        <v>166</v>
      </c>
      <c r="L278" t="s">
        <v>167</v>
      </c>
      <c r="M278" t="s">
        <v>41</v>
      </c>
      <c r="N278" t="s">
        <v>66</v>
      </c>
      <c r="O278" t="s">
        <v>935</v>
      </c>
      <c r="P278" t="s">
        <v>31</v>
      </c>
      <c r="Q278">
        <v>6</v>
      </c>
      <c r="R278">
        <v>3391.53</v>
      </c>
      <c r="S278" s="6">
        <v>-0.14000000000000001</v>
      </c>
      <c r="T278" s="6">
        <f t="shared" si="39"/>
        <v>0.14000000000000001</v>
      </c>
      <c r="U278">
        <v>15261.89</v>
      </c>
      <c r="V278">
        <f t="shared" si="40"/>
        <v>17500.2948</v>
      </c>
      <c r="W278" s="6">
        <f t="shared" si="41"/>
        <v>2238.4048000000003</v>
      </c>
      <c r="X278">
        <v>8413.5300000000007</v>
      </c>
      <c r="Y278">
        <v>6848.36</v>
      </c>
      <c r="Z278">
        <f t="shared" si="42"/>
        <v>9086.764799999999</v>
      </c>
      <c r="AA278" s="6">
        <f t="shared" si="43"/>
        <v>2238.4047999999993</v>
      </c>
      <c r="AB278">
        <f t="shared" si="44"/>
        <v>0.51923495597342728</v>
      </c>
      <c r="AC278" t="s">
        <v>32</v>
      </c>
      <c r="AD278" t="s">
        <v>33</v>
      </c>
      <c r="AE278" t="s">
        <v>2826</v>
      </c>
      <c r="AF278" s="10" t="s">
        <v>2791</v>
      </c>
    </row>
    <row r="279" spans="1:32">
      <c r="A279" t="s">
        <v>936</v>
      </c>
      <c r="B279" s="3">
        <v>45753</v>
      </c>
      <c r="C279" t="str">
        <f t="shared" si="37"/>
        <v>April</v>
      </c>
      <c r="D279">
        <f t="shared" si="38"/>
        <v>2025</v>
      </c>
      <c r="E279" s="3">
        <v>45753</v>
      </c>
      <c r="F279">
        <f t="shared" si="36"/>
        <v>0</v>
      </c>
      <c r="G279" t="s">
        <v>788</v>
      </c>
      <c r="H279" t="s">
        <v>47</v>
      </c>
      <c r="I279" t="s">
        <v>90</v>
      </c>
      <c r="J279" t="s">
        <v>25</v>
      </c>
      <c r="K279" t="s">
        <v>236</v>
      </c>
      <c r="L279" t="s">
        <v>237</v>
      </c>
      <c r="M279" t="s">
        <v>74</v>
      </c>
      <c r="N279" t="s">
        <v>75</v>
      </c>
      <c r="O279" t="s">
        <v>937</v>
      </c>
      <c r="P279" t="s">
        <v>31</v>
      </c>
      <c r="Q279">
        <v>1</v>
      </c>
      <c r="R279">
        <v>2133.73</v>
      </c>
      <c r="S279" s="6">
        <v>0.15</v>
      </c>
      <c r="T279" s="6">
        <f t="shared" si="39"/>
        <v>0.15</v>
      </c>
      <c r="U279">
        <v>2008.39</v>
      </c>
      <c r="V279">
        <f t="shared" si="40"/>
        <v>1813.6704999999999</v>
      </c>
      <c r="W279" s="6">
        <f t="shared" si="41"/>
        <v>-194.71950000000015</v>
      </c>
      <c r="X279">
        <v>1002.57</v>
      </c>
      <c r="Y279">
        <v>811.1</v>
      </c>
      <c r="Z279">
        <f t="shared" si="42"/>
        <v>811.1004999999999</v>
      </c>
      <c r="AA279" s="6">
        <f t="shared" si="43"/>
        <v>4.9999999987448973E-4</v>
      </c>
      <c r="AB279">
        <f t="shared" si="44"/>
        <v>0.4472149158295291</v>
      </c>
      <c r="AC279" t="s">
        <v>111</v>
      </c>
      <c r="AD279" t="s">
        <v>68</v>
      </c>
      <c r="AE279" t="s">
        <v>2827</v>
      </c>
      <c r="AF279" t="s">
        <v>2804</v>
      </c>
    </row>
    <row r="280" spans="1:32">
      <c r="A280" t="s">
        <v>938</v>
      </c>
      <c r="B280" s="3">
        <v>45841</v>
      </c>
      <c r="C280" t="str">
        <f t="shared" si="37"/>
        <v>July</v>
      </c>
      <c r="D280">
        <f t="shared" si="38"/>
        <v>2025</v>
      </c>
      <c r="E280" s="3">
        <v>45730</v>
      </c>
      <c r="F280">
        <f t="shared" si="36"/>
        <v>-111</v>
      </c>
      <c r="G280" t="s">
        <v>939</v>
      </c>
      <c r="H280" t="s">
        <v>114</v>
      </c>
      <c r="I280" t="s">
        <v>37</v>
      </c>
      <c r="J280" t="s">
        <v>25</v>
      </c>
      <c r="K280" t="s">
        <v>350</v>
      </c>
      <c r="L280" t="s">
        <v>351</v>
      </c>
      <c r="M280" t="s">
        <v>74</v>
      </c>
      <c r="N280" t="s">
        <v>75</v>
      </c>
      <c r="O280" t="s">
        <v>940</v>
      </c>
      <c r="P280" t="s">
        <v>44</v>
      </c>
      <c r="Q280">
        <v>1</v>
      </c>
      <c r="R280">
        <v>3979.64</v>
      </c>
      <c r="S280" s="6">
        <v>0.05</v>
      </c>
      <c r="T280" s="6">
        <f t="shared" si="39"/>
        <v>0.05</v>
      </c>
      <c r="U280">
        <v>3780.66</v>
      </c>
      <c r="V280">
        <f t="shared" si="40"/>
        <v>3780.6579999999999</v>
      </c>
      <c r="W280" s="6">
        <f t="shared" si="41"/>
        <v>-1.9999999999527063E-3</v>
      </c>
      <c r="X280">
        <v>2148.31</v>
      </c>
      <c r="Y280">
        <v>1632.35</v>
      </c>
      <c r="Z280">
        <f t="shared" si="42"/>
        <v>1632.348</v>
      </c>
      <c r="AA280" s="6">
        <f t="shared" si="43"/>
        <v>-1.9999999999527063E-3</v>
      </c>
      <c r="AB280">
        <f t="shared" si="44"/>
        <v>0.43176293650470365</v>
      </c>
      <c r="AC280" t="s">
        <v>32</v>
      </c>
      <c r="AD280" t="s">
        <v>103</v>
      </c>
      <c r="AE280" t="s">
        <v>2826</v>
      </c>
      <c r="AF280" s="10" t="s">
        <v>2818</v>
      </c>
    </row>
    <row r="281" spans="1:32">
      <c r="A281" t="s">
        <v>941</v>
      </c>
      <c r="B281" s="3">
        <v>45391</v>
      </c>
      <c r="C281" t="str">
        <f t="shared" si="37"/>
        <v>April</v>
      </c>
      <c r="D281">
        <f t="shared" si="38"/>
        <v>2024</v>
      </c>
      <c r="E281" s="3">
        <v>45569</v>
      </c>
      <c r="F281">
        <f t="shared" si="36"/>
        <v>178</v>
      </c>
      <c r="G281" t="s">
        <v>942</v>
      </c>
      <c r="H281" t="s">
        <v>141</v>
      </c>
      <c r="I281" t="s">
        <v>37</v>
      </c>
      <c r="J281" t="s">
        <v>63</v>
      </c>
      <c r="K281" t="s">
        <v>64</v>
      </c>
      <c r="L281" t="s">
        <v>65</v>
      </c>
      <c r="M281" t="s">
        <v>28</v>
      </c>
      <c r="N281" t="s">
        <v>124</v>
      </c>
      <c r="O281" t="s">
        <v>943</v>
      </c>
      <c r="P281" t="s">
        <v>50</v>
      </c>
      <c r="Q281">
        <v>1</v>
      </c>
      <c r="R281">
        <v>4359.12</v>
      </c>
      <c r="S281" s="6">
        <v>0.05</v>
      </c>
      <c r="T281" s="6">
        <f t="shared" si="39"/>
        <v>0.05</v>
      </c>
      <c r="U281">
        <v>4141.16</v>
      </c>
      <c r="V281">
        <f t="shared" si="40"/>
        <v>4141.1639999999998</v>
      </c>
      <c r="W281" s="6">
        <f t="shared" si="41"/>
        <v>3.9999999999054126E-3</v>
      </c>
      <c r="X281">
        <v>2754.17</v>
      </c>
      <c r="Y281">
        <v>1386.99</v>
      </c>
      <c r="Z281">
        <f t="shared" si="42"/>
        <v>1386.9939999999997</v>
      </c>
      <c r="AA281" s="6">
        <f t="shared" si="43"/>
        <v>3.9999999996780389E-3</v>
      </c>
      <c r="AB281">
        <f t="shared" si="44"/>
        <v>0.33492853700070796</v>
      </c>
      <c r="AC281" t="s">
        <v>32</v>
      </c>
      <c r="AD281" t="s">
        <v>33</v>
      </c>
      <c r="AE281" t="s">
        <v>2828</v>
      </c>
    </row>
    <row r="282" spans="1:32">
      <c r="A282" t="s">
        <v>944</v>
      </c>
      <c r="B282" s="3">
        <v>45649</v>
      </c>
      <c r="C282" t="str">
        <f t="shared" si="37"/>
        <v>December</v>
      </c>
      <c r="D282">
        <f t="shared" si="38"/>
        <v>2024</v>
      </c>
      <c r="E282" s="3">
        <v>45652</v>
      </c>
      <c r="F282">
        <f t="shared" si="36"/>
        <v>3</v>
      </c>
      <c r="G282" t="s">
        <v>945</v>
      </c>
      <c r="H282" t="s">
        <v>89</v>
      </c>
      <c r="I282" t="s">
        <v>24</v>
      </c>
      <c r="J282" t="s">
        <v>54</v>
      </c>
      <c r="K282" t="s">
        <v>175</v>
      </c>
      <c r="L282" t="s">
        <v>176</v>
      </c>
      <c r="M282" t="s">
        <v>74</v>
      </c>
      <c r="N282" t="s">
        <v>80</v>
      </c>
      <c r="O282" t="s">
        <v>946</v>
      </c>
      <c r="P282" t="s">
        <v>59</v>
      </c>
      <c r="Q282">
        <v>9</v>
      </c>
      <c r="R282">
        <v>993.67</v>
      </c>
      <c r="S282" s="6">
        <v>0</v>
      </c>
      <c r="T282" s="6">
        <f t="shared" si="39"/>
        <v>0</v>
      </c>
      <c r="U282">
        <v>8943.0300000000007</v>
      </c>
      <c r="V282">
        <f t="shared" si="40"/>
        <v>8943.0299999999988</v>
      </c>
      <c r="W282" s="6">
        <f t="shared" si="41"/>
        <v>0</v>
      </c>
      <c r="X282">
        <v>5165.38</v>
      </c>
      <c r="Y282">
        <v>3777.65</v>
      </c>
      <c r="Z282">
        <f t="shared" si="42"/>
        <v>3777.6499999999987</v>
      </c>
      <c r="AA282" s="6">
        <f t="shared" si="43"/>
        <v>0</v>
      </c>
      <c r="AB282">
        <f t="shared" si="44"/>
        <v>0.42241276167026154</v>
      </c>
      <c r="AC282" t="s">
        <v>32</v>
      </c>
      <c r="AD282" t="s">
        <v>33</v>
      </c>
      <c r="AE282" t="s">
        <v>2828</v>
      </c>
    </row>
    <row r="283" spans="1:32">
      <c r="A283" t="s">
        <v>947</v>
      </c>
      <c r="B283" s="3">
        <v>45863</v>
      </c>
      <c r="C283" t="str">
        <f t="shared" si="37"/>
        <v>July</v>
      </c>
      <c r="D283">
        <f t="shared" si="38"/>
        <v>2025</v>
      </c>
      <c r="E283" s="3">
        <v>45865</v>
      </c>
      <c r="F283">
        <f t="shared" si="36"/>
        <v>2</v>
      </c>
      <c r="G283" t="s">
        <v>948</v>
      </c>
      <c r="H283" t="s">
        <v>264</v>
      </c>
      <c r="I283" t="s">
        <v>24</v>
      </c>
      <c r="J283" t="s">
        <v>38</v>
      </c>
      <c r="K283" t="s">
        <v>228</v>
      </c>
      <c r="L283" t="s">
        <v>229</v>
      </c>
      <c r="M283" t="s">
        <v>28</v>
      </c>
      <c r="N283" t="s">
        <v>153</v>
      </c>
      <c r="O283" t="s">
        <v>949</v>
      </c>
      <c r="P283" t="s">
        <v>31</v>
      </c>
      <c r="Q283">
        <v>6</v>
      </c>
      <c r="R283">
        <v>3438.38</v>
      </c>
      <c r="S283" s="6">
        <v>0.2</v>
      </c>
      <c r="T283" s="6">
        <f t="shared" si="39"/>
        <v>0.2</v>
      </c>
      <c r="U283">
        <v>16504.22</v>
      </c>
      <c r="V283">
        <f t="shared" si="40"/>
        <v>16504.223999999998</v>
      </c>
      <c r="W283" s="6">
        <f t="shared" si="41"/>
        <v>3.9999999971769284E-3</v>
      </c>
      <c r="X283">
        <v>11262.71</v>
      </c>
      <c r="Y283">
        <v>5241.51</v>
      </c>
      <c r="Z283">
        <f t="shared" si="42"/>
        <v>5241.5139999999992</v>
      </c>
      <c r="AA283" s="6">
        <f t="shared" si="43"/>
        <v>3.9999999989959178E-3</v>
      </c>
      <c r="AB283">
        <f t="shared" si="44"/>
        <v>0.31758621308096641</v>
      </c>
      <c r="AC283" t="s">
        <v>32</v>
      </c>
      <c r="AD283" t="s">
        <v>33</v>
      </c>
      <c r="AE283" t="s">
        <v>2828</v>
      </c>
    </row>
    <row r="284" spans="1:32">
      <c r="A284" t="s">
        <v>950</v>
      </c>
      <c r="B284" s="3">
        <v>45301</v>
      </c>
      <c r="C284" t="str">
        <f t="shared" si="37"/>
        <v>January</v>
      </c>
      <c r="D284">
        <f t="shared" si="38"/>
        <v>2024</v>
      </c>
      <c r="E284" s="3">
        <v>45567</v>
      </c>
      <c r="F284">
        <f t="shared" si="36"/>
        <v>266</v>
      </c>
      <c r="G284" t="s">
        <v>951</v>
      </c>
      <c r="H284" t="s">
        <v>23</v>
      </c>
      <c r="I284" t="s">
        <v>95</v>
      </c>
      <c r="J284" t="s">
        <v>38</v>
      </c>
      <c r="K284" t="s">
        <v>166</v>
      </c>
      <c r="L284" t="s">
        <v>167</v>
      </c>
      <c r="M284" t="s">
        <v>41</v>
      </c>
      <c r="N284" t="s">
        <v>42</v>
      </c>
      <c r="O284" t="s">
        <v>952</v>
      </c>
      <c r="P284" t="s">
        <v>31</v>
      </c>
      <c r="Q284">
        <v>2</v>
      </c>
      <c r="R284">
        <v>2298</v>
      </c>
      <c r="S284" s="6">
        <v>0</v>
      </c>
      <c r="T284" s="6">
        <f t="shared" si="39"/>
        <v>0</v>
      </c>
      <c r="U284">
        <v>4596</v>
      </c>
      <c r="V284">
        <f t="shared" si="40"/>
        <v>4596</v>
      </c>
      <c r="W284" s="6">
        <f t="shared" si="41"/>
        <v>0</v>
      </c>
      <c r="X284">
        <v>3220.33</v>
      </c>
      <c r="Y284">
        <v>1375.67</v>
      </c>
      <c r="Z284">
        <f t="shared" si="42"/>
        <v>1375.67</v>
      </c>
      <c r="AA284" s="6">
        <f t="shared" si="43"/>
        <v>0</v>
      </c>
      <c r="AB284">
        <f t="shared" si="44"/>
        <v>0.29931897302001742</v>
      </c>
      <c r="AC284" t="s">
        <v>32</v>
      </c>
      <c r="AD284" t="s">
        <v>33</v>
      </c>
      <c r="AE284" t="s">
        <v>2828</v>
      </c>
    </row>
    <row r="285" spans="1:32">
      <c r="A285" t="s">
        <v>953</v>
      </c>
      <c r="B285" s="3">
        <v>45729</v>
      </c>
      <c r="C285" t="str">
        <f t="shared" si="37"/>
        <v>March</v>
      </c>
      <c r="D285">
        <f t="shared" si="38"/>
        <v>2025</v>
      </c>
      <c r="E285" s="3">
        <v>45736</v>
      </c>
      <c r="F285">
        <f t="shared" si="36"/>
        <v>7</v>
      </c>
      <c r="G285" t="s">
        <v>954</v>
      </c>
      <c r="H285" t="s">
        <v>71</v>
      </c>
      <c r="I285" t="s">
        <v>24</v>
      </c>
      <c r="J285" t="s">
        <v>63</v>
      </c>
      <c r="K285" t="s">
        <v>64</v>
      </c>
      <c r="L285" t="s">
        <v>65</v>
      </c>
      <c r="M285" t="s">
        <v>41</v>
      </c>
      <c r="N285" t="s">
        <v>57</v>
      </c>
      <c r="O285" t="s">
        <v>955</v>
      </c>
      <c r="P285" t="s">
        <v>50</v>
      </c>
      <c r="Q285">
        <v>1</v>
      </c>
      <c r="R285">
        <v>1814.01</v>
      </c>
      <c r="S285" s="6">
        <v>0</v>
      </c>
      <c r="T285" s="6">
        <f t="shared" si="39"/>
        <v>0</v>
      </c>
      <c r="U285">
        <v>1814.01</v>
      </c>
      <c r="V285">
        <f t="shared" si="40"/>
        <v>1814.01</v>
      </c>
      <c r="W285" s="6">
        <f t="shared" si="41"/>
        <v>0</v>
      </c>
      <c r="X285">
        <v>1033.47</v>
      </c>
      <c r="Y285">
        <v>780.54</v>
      </c>
      <c r="Z285">
        <f t="shared" si="42"/>
        <v>780.54</v>
      </c>
      <c r="AA285" s="6">
        <f t="shared" si="43"/>
        <v>0</v>
      </c>
      <c r="AB285">
        <f t="shared" si="44"/>
        <v>0.43028428729720342</v>
      </c>
      <c r="AC285" t="s">
        <v>32</v>
      </c>
      <c r="AD285" t="s">
        <v>33</v>
      </c>
      <c r="AE285" t="s">
        <v>2828</v>
      </c>
    </row>
    <row r="286" spans="1:32">
      <c r="A286" t="s">
        <v>956</v>
      </c>
      <c r="B286" s="3">
        <v>45634</v>
      </c>
      <c r="C286" t="str">
        <f t="shared" si="37"/>
        <v>December</v>
      </c>
      <c r="D286">
        <f t="shared" si="38"/>
        <v>2024</v>
      </c>
      <c r="E286" s="3">
        <v>45640</v>
      </c>
      <c r="F286">
        <f t="shared" si="36"/>
        <v>6</v>
      </c>
      <c r="G286" t="s">
        <v>957</v>
      </c>
      <c r="H286" t="s">
        <v>23</v>
      </c>
      <c r="I286" t="s">
        <v>24</v>
      </c>
      <c r="J286" t="s">
        <v>38</v>
      </c>
      <c r="K286" t="s">
        <v>39</v>
      </c>
      <c r="L286" t="s">
        <v>40</v>
      </c>
      <c r="M286" t="s">
        <v>41</v>
      </c>
      <c r="N286" t="s">
        <v>42</v>
      </c>
      <c r="O286" t="s">
        <v>958</v>
      </c>
      <c r="P286" t="s">
        <v>44</v>
      </c>
      <c r="Q286">
        <v>3</v>
      </c>
      <c r="R286">
        <v>1576.92</v>
      </c>
      <c r="S286" s="6">
        <v>0</v>
      </c>
      <c r="T286" s="6">
        <f t="shared" si="39"/>
        <v>0</v>
      </c>
      <c r="U286">
        <v>4730.76</v>
      </c>
      <c r="V286">
        <f t="shared" si="40"/>
        <v>4730.76</v>
      </c>
      <c r="W286" s="6">
        <f t="shared" si="41"/>
        <v>0</v>
      </c>
      <c r="X286">
        <v>3139.73</v>
      </c>
      <c r="Y286">
        <v>1591.03</v>
      </c>
      <c r="Z286">
        <f t="shared" si="42"/>
        <v>1591.0300000000002</v>
      </c>
      <c r="AA286" s="6">
        <f t="shared" si="43"/>
        <v>0</v>
      </c>
      <c r="AB286">
        <f t="shared" si="44"/>
        <v>0.33631594077907145</v>
      </c>
      <c r="AC286" t="s">
        <v>32</v>
      </c>
      <c r="AD286" t="s">
        <v>103</v>
      </c>
      <c r="AE286" t="s">
        <v>2827</v>
      </c>
      <c r="AF286" t="s">
        <v>103</v>
      </c>
    </row>
    <row r="287" spans="1:32">
      <c r="A287" t="s">
        <v>959</v>
      </c>
      <c r="B287" s="3">
        <v>45884</v>
      </c>
      <c r="C287" t="str">
        <f t="shared" si="37"/>
        <v>August</v>
      </c>
      <c r="D287">
        <f t="shared" si="38"/>
        <v>2025</v>
      </c>
      <c r="E287" s="3">
        <v>45889</v>
      </c>
      <c r="F287">
        <f t="shared" si="36"/>
        <v>5</v>
      </c>
      <c r="G287" t="s">
        <v>960</v>
      </c>
      <c r="H287" t="s">
        <v>79</v>
      </c>
      <c r="I287" t="s">
        <v>95</v>
      </c>
      <c r="J287" t="s">
        <v>25</v>
      </c>
      <c r="K287" t="s">
        <v>26</v>
      </c>
      <c r="L287" t="s">
        <v>27</v>
      </c>
      <c r="M287" t="s">
        <v>28</v>
      </c>
      <c r="N287" t="s">
        <v>124</v>
      </c>
      <c r="O287" t="s">
        <v>961</v>
      </c>
      <c r="P287" t="s">
        <v>59</v>
      </c>
      <c r="Q287">
        <v>9</v>
      </c>
      <c r="R287">
        <v>4081.77</v>
      </c>
      <c r="S287" s="6">
        <v>0</v>
      </c>
      <c r="T287" s="6">
        <f t="shared" si="39"/>
        <v>0</v>
      </c>
      <c r="U287">
        <v>36735.93</v>
      </c>
      <c r="V287">
        <f t="shared" si="40"/>
        <v>36735.93</v>
      </c>
      <c r="W287" s="6">
        <f t="shared" si="41"/>
        <v>0</v>
      </c>
      <c r="X287">
        <v>30820.84</v>
      </c>
      <c r="Y287">
        <v>5915.09</v>
      </c>
      <c r="Z287">
        <f t="shared" si="42"/>
        <v>5915.09</v>
      </c>
      <c r="AA287" s="6">
        <f t="shared" si="43"/>
        <v>0</v>
      </c>
      <c r="AB287">
        <f t="shared" si="44"/>
        <v>0.16101647624001897</v>
      </c>
      <c r="AC287" t="s">
        <v>32</v>
      </c>
      <c r="AD287" t="s">
        <v>33</v>
      </c>
      <c r="AE287" t="s">
        <v>2828</v>
      </c>
    </row>
    <row r="288" spans="1:32">
      <c r="A288" t="s">
        <v>962</v>
      </c>
      <c r="B288" s="3">
        <v>45350</v>
      </c>
      <c r="C288" t="str">
        <f t="shared" si="37"/>
        <v>February</v>
      </c>
      <c r="D288">
        <f t="shared" si="38"/>
        <v>2024</v>
      </c>
      <c r="E288" s="3">
        <v>45353</v>
      </c>
      <c r="F288">
        <f t="shared" si="36"/>
        <v>3</v>
      </c>
      <c r="G288" t="s">
        <v>963</v>
      </c>
      <c r="H288" t="s">
        <v>114</v>
      </c>
      <c r="I288" t="s">
        <v>37</v>
      </c>
      <c r="J288" t="s">
        <v>25</v>
      </c>
      <c r="K288" t="s">
        <v>350</v>
      </c>
      <c r="L288" t="s">
        <v>351</v>
      </c>
      <c r="M288" t="s">
        <v>41</v>
      </c>
      <c r="N288" t="s">
        <v>57</v>
      </c>
      <c r="O288" t="s">
        <v>964</v>
      </c>
      <c r="P288" t="s">
        <v>50</v>
      </c>
      <c r="Q288">
        <v>7</v>
      </c>
      <c r="R288">
        <v>701.8</v>
      </c>
      <c r="S288" s="6">
        <v>0.1</v>
      </c>
      <c r="T288" s="6">
        <f t="shared" si="39"/>
        <v>0.1</v>
      </c>
      <c r="U288">
        <v>4421.34</v>
      </c>
      <c r="V288">
        <f t="shared" si="40"/>
        <v>4421.3399999999992</v>
      </c>
      <c r="W288" s="6">
        <f t="shared" si="41"/>
        <v>0</v>
      </c>
      <c r="X288">
        <v>2489.98</v>
      </c>
      <c r="Y288">
        <v>1931.36</v>
      </c>
      <c r="Z288">
        <f t="shared" si="42"/>
        <v>1931.3599999999992</v>
      </c>
      <c r="AA288" s="6">
        <f t="shared" si="43"/>
        <v>0</v>
      </c>
      <c r="AB288">
        <f t="shared" si="44"/>
        <v>0.43682684435035524</v>
      </c>
      <c r="AC288" t="s">
        <v>111</v>
      </c>
      <c r="AD288" t="s">
        <v>103</v>
      </c>
      <c r="AE288" t="s">
        <v>2827</v>
      </c>
      <c r="AF288" t="s">
        <v>2814</v>
      </c>
    </row>
    <row r="289" spans="1:32">
      <c r="A289" t="s">
        <v>965</v>
      </c>
      <c r="B289" s="3">
        <v>45540</v>
      </c>
      <c r="C289" t="str">
        <f t="shared" si="37"/>
        <v>September</v>
      </c>
      <c r="D289">
        <f t="shared" si="38"/>
        <v>2024</v>
      </c>
      <c r="E289" s="3">
        <v>45482</v>
      </c>
      <c r="F289">
        <f t="shared" si="36"/>
        <v>-58</v>
      </c>
      <c r="G289" t="s">
        <v>966</v>
      </c>
      <c r="H289" t="s">
        <v>79</v>
      </c>
      <c r="I289" t="s">
        <v>37</v>
      </c>
      <c r="J289" t="s">
        <v>54</v>
      </c>
      <c r="K289" t="s">
        <v>247</v>
      </c>
      <c r="L289" t="s">
        <v>248</v>
      </c>
      <c r="M289" t="s">
        <v>74</v>
      </c>
      <c r="N289" t="s">
        <v>80</v>
      </c>
      <c r="O289" t="s">
        <v>967</v>
      </c>
      <c r="P289" t="s">
        <v>59</v>
      </c>
      <c r="Q289">
        <v>3</v>
      </c>
      <c r="R289">
        <v>2555.66</v>
      </c>
      <c r="S289" s="6">
        <v>0.15</v>
      </c>
      <c r="T289" s="6">
        <f t="shared" si="39"/>
        <v>0.15</v>
      </c>
      <c r="U289">
        <v>6516.93</v>
      </c>
      <c r="V289">
        <f t="shared" si="40"/>
        <v>6516.9329999999991</v>
      </c>
      <c r="W289" s="6">
        <f t="shared" si="41"/>
        <v>2.999999998792191E-3</v>
      </c>
      <c r="X289">
        <v>4511.54</v>
      </c>
      <c r="Y289">
        <v>2005.39</v>
      </c>
      <c r="Z289">
        <f t="shared" si="42"/>
        <v>2005.3929999999991</v>
      </c>
      <c r="AA289" s="6">
        <f t="shared" si="43"/>
        <v>2.9999999990195647E-3</v>
      </c>
      <c r="AB289">
        <f t="shared" si="44"/>
        <v>0.30772036477895343</v>
      </c>
      <c r="AC289" t="s">
        <v>32</v>
      </c>
      <c r="AD289" t="s">
        <v>68</v>
      </c>
      <c r="AE289" t="s">
        <v>2826</v>
      </c>
      <c r="AF289" s="10" t="s">
        <v>2793</v>
      </c>
    </row>
    <row r="290" spans="1:32">
      <c r="A290" t="s">
        <v>968</v>
      </c>
      <c r="B290" s="3">
        <v>45467</v>
      </c>
      <c r="C290" t="str">
        <f t="shared" si="37"/>
        <v>June</v>
      </c>
      <c r="D290">
        <f t="shared" si="38"/>
        <v>2024</v>
      </c>
      <c r="E290" s="3">
        <v>45467</v>
      </c>
      <c r="F290">
        <f t="shared" si="36"/>
        <v>0</v>
      </c>
      <c r="G290" t="s">
        <v>969</v>
      </c>
      <c r="H290" t="s">
        <v>141</v>
      </c>
      <c r="I290" t="s">
        <v>37</v>
      </c>
      <c r="J290" t="s">
        <v>38</v>
      </c>
      <c r="K290" t="s">
        <v>145</v>
      </c>
      <c r="L290" t="s">
        <v>146</v>
      </c>
      <c r="M290" t="s">
        <v>28</v>
      </c>
      <c r="N290" t="s">
        <v>153</v>
      </c>
      <c r="O290" t="s">
        <v>970</v>
      </c>
      <c r="P290" t="s">
        <v>44</v>
      </c>
      <c r="Q290">
        <v>2</v>
      </c>
      <c r="R290">
        <v>4359.8999999999996</v>
      </c>
      <c r="S290" s="6">
        <v>0.15</v>
      </c>
      <c r="T290" s="6">
        <f t="shared" si="39"/>
        <v>0.15</v>
      </c>
      <c r="U290">
        <v>7411.83</v>
      </c>
      <c r="V290">
        <f t="shared" si="40"/>
        <v>7411.829999999999</v>
      </c>
      <c r="W290" s="6">
        <f t="shared" si="41"/>
        <v>0</v>
      </c>
      <c r="X290">
        <v>4904.63</v>
      </c>
      <c r="Y290">
        <v>2507.1999999999998</v>
      </c>
      <c r="Z290">
        <f t="shared" si="42"/>
        <v>2507.1999999999989</v>
      </c>
      <c r="AA290" s="6">
        <f t="shared" si="43"/>
        <v>0</v>
      </c>
      <c r="AB290">
        <f t="shared" si="44"/>
        <v>0.3382700358750807</v>
      </c>
      <c r="AC290" t="s">
        <v>32</v>
      </c>
      <c r="AD290" t="s">
        <v>33</v>
      </c>
      <c r="AE290" t="s">
        <v>2828</v>
      </c>
    </row>
    <row r="291" spans="1:32">
      <c r="A291" t="s">
        <v>971</v>
      </c>
      <c r="B291" s="3">
        <v>45827</v>
      </c>
      <c r="C291" t="str">
        <f t="shared" si="37"/>
        <v>June</v>
      </c>
      <c r="D291">
        <f t="shared" si="38"/>
        <v>2025</v>
      </c>
      <c r="E291" s="3">
        <v>45835</v>
      </c>
      <c r="F291">
        <f t="shared" si="36"/>
        <v>8</v>
      </c>
      <c r="G291" t="s">
        <v>972</v>
      </c>
      <c r="H291" t="s">
        <v>23</v>
      </c>
      <c r="I291" t="s">
        <v>95</v>
      </c>
      <c r="J291" t="s">
        <v>54</v>
      </c>
      <c r="K291" t="s">
        <v>247</v>
      </c>
      <c r="L291" t="s">
        <v>248</v>
      </c>
      <c r="M291" t="s">
        <v>41</v>
      </c>
      <c r="N291" t="s">
        <v>158</v>
      </c>
      <c r="O291" t="s">
        <v>973</v>
      </c>
      <c r="P291" t="s">
        <v>50</v>
      </c>
      <c r="Q291">
        <v>2</v>
      </c>
      <c r="R291">
        <v>4346.6899999999996</v>
      </c>
      <c r="S291" s="6">
        <v>0.05</v>
      </c>
      <c r="T291" s="6">
        <f t="shared" si="39"/>
        <v>0.05</v>
      </c>
      <c r="U291">
        <v>8258.7099999999991</v>
      </c>
      <c r="V291">
        <f t="shared" si="40"/>
        <v>8258.7109999999993</v>
      </c>
      <c r="W291" s="6">
        <f t="shared" si="41"/>
        <v>1.0000000002037268E-3</v>
      </c>
      <c r="X291">
        <v>7018.97</v>
      </c>
      <c r="Y291">
        <v>1239.74</v>
      </c>
      <c r="Z291">
        <f t="shared" si="42"/>
        <v>1239.7409999999991</v>
      </c>
      <c r="AA291" s="6">
        <f t="shared" si="43"/>
        <v>9.9999999906685844E-4</v>
      </c>
      <c r="AB291">
        <f t="shared" si="44"/>
        <v>0.15011313508851432</v>
      </c>
      <c r="AC291" t="s">
        <v>32</v>
      </c>
      <c r="AD291" t="s">
        <v>33</v>
      </c>
      <c r="AE291" t="s">
        <v>2828</v>
      </c>
    </row>
    <row r="292" spans="1:32">
      <c r="A292" t="s">
        <v>974</v>
      </c>
      <c r="B292" s="3">
        <v>45891</v>
      </c>
      <c r="C292" t="str">
        <f t="shared" si="37"/>
        <v>August</v>
      </c>
      <c r="D292">
        <f t="shared" si="38"/>
        <v>2025</v>
      </c>
      <c r="E292" s="3">
        <v>45895</v>
      </c>
      <c r="F292">
        <f t="shared" si="36"/>
        <v>4</v>
      </c>
      <c r="G292" t="s">
        <v>975</v>
      </c>
      <c r="H292" t="s">
        <v>162</v>
      </c>
      <c r="I292" t="s">
        <v>95</v>
      </c>
      <c r="J292" t="s">
        <v>38</v>
      </c>
      <c r="K292" t="s">
        <v>228</v>
      </c>
      <c r="L292" t="s">
        <v>229</v>
      </c>
      <c r="M292" t="s">
        <v>41</v>
      </c>
      <c r="N292" t="s">
        <v>42</v>
      </c>
      <c r="O292" t="s">
        <v>976</v>
      </c>
      <c r="P292" t="s">
        <v>59</v>
      </c>
      <c r="Q292">
        <v>1</v>
      </c>
      <c r="R292">
        <v>1842.63</v>
      </c>
      <c r="S292" s="6">
        <v>0.1</v>
      </c>
      <c r="T292" s="6">
        <f t="shared" si="39"/>
        <v>0.1</v>
      </c>
      <c r="U292">
        <v>1658.37</v>
      </c>
      <c r="V292">
        <f t="shared" si="40"/>
        <v>1658.3670000000002</v>
      </c>
      <c r="W292" s="6">
        <f t="shared" si="41"/>
        <v>-2.9999999997016857E-3</v>
      </c>
      <c r="X292">
        <v>971.12</v>
      </c>
      <c r="Y292">
        <v>687.25</v>
      </c>
      <c r="Z292">
        <f t="shared" si="42"/>
        <v>687.24700000000018</v>
      </c>
      <c r="AA292" s="6">
        <f t="shared" si="43"/>
        <v>-2.9999999998153726E-3</v>
      </c>
      <c r="AB292">
        <f t="shared" si="44"/>
        <v>0.41441188832146331</v>
      </c>
      <c r="AC292" t="s">
        <v>32</v>
      </c>
      <c r="AD292" t="s">
        <v>33</v>
      </c>
      <c r="AE292" t="s">
        <v>2828</v>
      </c>
    </row>
    <row r="293" spans="1:32">
      <c r="A293" t="s">
        <v>977</v>
      </c>
      <c r="B293" s="3">
        <v>45387</v>
      </c>
      <c r="C293" t="str">
        <f t="shared" si="37"/>
        <v>April</v>
      </c>
      <c r="D293">
        <f t="shared" si="38"/>
        <v>2024</v>
      </c>
      <c r="E293" s="3">
        <v>45569</v>
      </c>
      <c r="F293">
        <f t="shared" si="36"/>
        <v>182</v>
      </c>
      <c r="G293" t="s">
        <v>978</v>
      </c>
      <c r="H293" t="s">
        <v>114</v>
      </c>
      <c r="I293" t="s">
        <v>95</v>
      </c>
      <c r="J293" t="s">
        <v>25</v>
      </c>
      <c r="K293" t="s">
        <v>26</v>
      </c>
      <c r="L293" t="s">
        <v>27</v>
      </c>
      <c r="M293" t="s">
        <v>28</v>
      </c>
      <c r="N293" t="s">
        <v>153</v>
      </c>
      <c r="O293" t="s">
        <v>979</v>
      </c>
      <c r="P293" t="s">
        <v>59</v>
      </c>
      <c r="Q293">
        <v>4</v>
      </c>
      <c r="R293">
        <v>3228.66</v>
      </c>
      <c r="S293" s="6">
        <v>0.25</v>
      </c>
      <c r="T293" s="6">
        <f t="shared" si="39"/>
        <v>0.25</v>
      </c>
      <c r="U293">
        <v>9685.98</v>
      </c>
      <c r="V293">
        <f t="shared" si="40"/>
        <v>9685.98</v>
      </c>
      <c r="W293" s="6">
        <f t="shared" si="41"/>
        <v>0</v>
      </c>
      <c r="X293">
        <v>7730.04</v>
      </c>
      <c r="Y293">
        <v>1955.94</v>
      </c>
      <c r="Z293">
        <f t="shared" si="42"/>
        <v>1955.9399999999996</v>
      </c>
      <c r="AA293" s="6">
        <f t="shared" si="43"/>
        <v>0</v>
      </c>
      <c r="AB293">
        <f t="shared" si="44"/>
        <v>0.20193516815025425</v>
      </c>
      <c r="AC293" t="s">
        <v>32</v>
      </c>
      <c r="AD293" t="s">
        <v>33</v>
      </c>
      <c r="AE293" t="s">
        <v>2828</v>
      </c>
    </row>
    <row r="294" spans="1:32">
      <c r="A294" t="s">
        <v>980</v>
      </c>
      <c r="B294" s="3">
        <v>45716</v>
      </c>
      <c r="C294" t="str">
        <f t="shared" si="37"/>
        <v>February</v>
      </c>
      <c r="D294">
        <f t="shared" si="38"/>
        <v>2025</v>
      </c>
      <c r="E294" s="3">
        <v>45719</v>
      </c>
      <c r="F294">
        <f t="shared" si="36"/>
        <v>3</v>
      </c>
      <c r="G294" t="s">
        <v>981</v>
      </c>
      <c r="H294" t="s">
        <v>264</v>
      </c>
      <c r="I294" t="s">
        <v>95</v>
      </c>
      <c r="J294" t="s">
        <v>25</v>
      </c>
      <c r="K294" t="s">
        <v>236</v>
      </c>
      <c r="L294" t="s">
        <v>237</v>
      </c>
      <c r="M294" t="s">
        <v>28</v>
      </c>
      <c r="N294" t="s">
        <v>48</v>
      </c>
      <c r="O294" t="s">
        <v>982</v>
      </c>
      <c r="P294" t="s">
        <v>44</v>
      </c>
      <c r="Q294">
        <v>9</v>
      </c>
      <c r="R294">
        <v>3748.95</v>
      </c>
      <c r="S294" s="6">
        <v>0</v>
      </c>
      <c r="T294" s="6">
        <f t="shared" si="39"/>
        <v>0</v>
      </c>
      <c r="U294">
        <v>33740.550000000003</v>
      </c>
      <c r="V294">
        <f t="shared" si="40"/>
        <v>33740.549999999996</v>
      </c>
      <c r="W294" s="6">
        <f t="shared" si="41"/>
        <v>0</v>
      </c>
      <c r="X294">
        <v>24621.89</v>
      </c>
      <c r="Y294">
        <v>9118.66</v>
      </c>
      <c r="Z294">
        <f t="shared" si="42"/>
        <v>9118.6599999999962</v>
      </c>
      <c r="AA294" s="6">
        <f t="shared" si="43"/>
        <v>0</v>
      </c>
      <c r="AB294">
        <f t="shared" si="44"/>
        <v>0.2702581908119458</v>
      </c>
      <c r="AC294" t="s">
        <v>111</v>
      </c>
      <c r="AD294" t="s">
        <v>68</v>
      </c>
      <c r="AE294" t="s">
        <v>2827</v>
      </c>
      <c r="AF294" t="s">
        <v>2804</v>
      </c>
    </row>
    <row r="295" spans="1:32">
      <c r="A295" t="s">
        <v>983</v>
      </c>
      <c r="B295" s="3">
        <v>45358</v>
      </c>
      <c r="C295" t="str">
        <f t="shared" si="37"/>
        <v>March</v>
      </c>
      <c r="D295">
        <f t="shared" si="38"/>
        <v>2024</v>
      </c>
      <c r="E295" s="3">
        <v>45599</v>
      </c>
      <c r="F295">
        <f t="shared" si="36"/>
        <v>241</v>
      </c>
      <c r="G295" t="s">
        <v>984</v>
      </c>
      <c r="H295" t="s">
        <v>53</v>
      </c>
      <c r="I295" t="s">
        <v>95</v>
      </c>
      <c r="J295" t="s">
        <v>54</v>
      </c>
      <c r="K295" t="s">
        <v>55</v>
      </c>
      <c r="L295" t="s">
        <v>56</v>
      </c>
      <c r="M295" t="s">
        <v>74</v>
      </c>
      <c r="N295" t="s">
        <v>171</v>
      </c>
      <c r="O295" t="s">
        <v>985</v>
      </c>
      <c r="P295" t="s">
        <v>50</v>
      </c>
      <c r="Q295">
        <v>2</v>
      </c>
      <c r="R295">
        <v>4401.51</v>
      </c>
      <c r="S295" s="6">
        <v>0.65</v>
      </c>
      <c r="T295" s="6">
        <f t="shared" si="39"/>
        <v>0.65</v>
      </c>
      <c r="U295">
        <v>8362.8700000000008</v>
      </c>
      <c r="V295">
        <f t="shared" si="40"/>
        <v>3081.0569999999998</v>
      </c>
      <c r="W295" s="6">
        <f t="shared" si="41"/>
        <v>-5281.813000000001</v>
      </c>
      <c r="X295">
        <v>6541.04</v>
      </c>
      <c r="Y295">
        <v>1821.83</v>
      </c>
      <c r="Z295">
        <f t="shared" si="42"/>
        <v>-3459.9830000000002</v>
      </c>
      <c r="AA295" s="6">
        <f t="shared" si="43"/>
        <v>-5281.8130000000001</v>
      </c>
      <c r="AB295">
        <f t="shared" si="44"/>
        <v>-1.1229857156164267</v>
      </c>
      <c r="AC295" t="s">
        <v>32</v>
      </c>
      <c r="AD295" t="s">
        <v>33</v>
      </c>
      <c r="AE295" t="s">
        <v>2828</v>
      </c>
    </row>
    <row r="296" spans="1:32">
      <c r="A296" t="s">
        <v>986</v>
      </c>
      <c r="B296" s="3">
        <v>45854</v>
      </c>
      <c r="C296" t="str">
        <f t="shared" si="37"/>
        <v>July</v>
      </c>
      <c r="D296">
        <f t="shared" si="38"/>
        <v>2025</v>
      </c>
      <c r="E296" s="3">
        <v>45860</v>
      </c>
      <c r="F296">
        <f t="shared" si="36"/>
        <v>6</v>
      </c>
      <c r="G296" t="s">
        <v>987</v>
      </c>
      <c r="H296" t="s">
        <v>114</v>
      </c>
      <c r="I296" t="s">
        <v>24</v>
      </c>
      <c r="J296" t="s">
        <v>38</v>
      </c>
      <c r="K296" t="s">
        <v>39</v>
      </c>
      <c r="L296" t="s">
        <v>40</v>
      </c>
      <c r="M296" t="s">
        <v>74</v>
      </c>
      <c r="N296" t="s">
        <v>171</v>
      </c>
      <c r="O296" t="s">
        <v>988</v>
      </c>
      <c r="P296" t="s">
        <v>31</v>
      </c>
      <c r="Q296">
        <v>6</v>
      </c>
      <c r="R296">
        <v>4159.33</v>
      </c>
      <c r="S296" s="6">
        <v>0.25</v>
      </c>
      <c r="T296" s="6">
        <f t="shared" si="39"/>
        <v>0.25</v>
      </c>
      <c r="U296">
        <v>18716.990000000002</v>
      </c>
      <c r="V296">
        <f t="shared" si="40"/>
        <v>18716.985000000001</v>
      </c>
      <c r="W296" s="6">
        <f t="shared" si="41"/>
        <v>-5.0000000010186341E-3</v>
      </c>
      <c r="X296">
        <v>12282.43</v>
      </c>
      <c r="Y296">
        <v>6434.56</v>
      </c>
      <c r="Z296">
        <f t="shared" si="42"/>
        <v>6434.5550000000003</v>
      </c>
      <c r="AA296" s="6">
        <f t="shared" si="43"/>
        <v>-5.0000000001091394E-3</v>
      </c>
      <c r="AB296">
        <f t="shared" si="44"/>
        <v>0.34378159730319813</v>
      </c>
      <c r="AC296" t="s">
        <v>32</v>
      </c>
      <c r="AD296" t="s">
        <v>103</v>
      </c>
      <c r="AE296" t="s">
        <v>2827</v>
      </c>
      <c r="AF296" t="s">
        <v>103</v>
      </c>
    </row>
    <row r="297" spans="1:32">
      <c r="A297" t="s">
        <v>989</v>
      </c>
      <c r="B297" s="3">
        <v>45833</v>
      </c>
      <c r="C297" t="str">
        <f t="shared" si="37"/>
        <v>June</v>
      </c>
      <c r="D297">
        <f t="shared" si="38"/>
        <v>2025</v>
      </c>
      <c r="E297" s="3">
        <v>45836</v>
      </c>
      <c r="F297">
        <f t="shared" si="36"/>
        <v>3</v>
      </c>
      <c r="G297" t="s">
        <v>990</v>
      </c>
      <c r="H297" t="s">
        <v>89</v>
      </c>
      <c r="I297" t="s">
        <v>37</v>
      </c>
      <c r="J297" t="s">
        <v>38</v>
      </c>
      <c r="K297" t="s">
        <v>166</v>
      </c>
      <c r="L297" t="s">
        <v>167</v>
      </c>
      <c r="M297" t="s">
        <v>28</v>
      </c>
      <c r="N297" t="s">
        <v>153</v>
      </c>
      <c r="O297" t="s">
        <v>991</v>
      </c>
      <c r="P297" t="s">
        <v>59</v>
      </c>
      <c r="Q297">
        <v>3</v>
      </c>
      <c r="R297">
        <v>3476.05</v>
      </c>
      <c r="S297" s="6">
        <v>0.1</v>
      </c>
      <c r="T297" s="6">
        <f t="shared" si="39"/>
        <v>0.1</v>
      </c>
      <c r="U297">
        <v>9385.34</v>
      </c>
      <c r="V297">
        <f t="shared" si="40"/>
        <v>9385.3350000000009</v>
      </c>
      <c r="W297" s="6">
        <f t="shared" si="41"/>
        <v>-4.9999999991996447E-3</v>
      </c>
      <c r="X297">
        <v>5828.54</v>
      </c>
      <c r="Y297">
        <v>3556.8</v>
      </c>
      <c r="Z297">
        <f t="shared" si="42"/>
        <v>3556.795000000001</v>
      </c>
      <c r="AA297" s="6">
        <f t="shared" si="43"/>
        <v>-4.9999999991996447E-3</v>
      </c>
      <c r="AB297">
        <f t="shared" si="44"/>
        <v>0.37897368607513748</v>
      </c>
      <c r="AC297" t="s">
        <v>32</v>
      </c>
      <c r="AD297" t="s">
        <v>33</v>
      </c>
      <c r="AE297" t="s">
        <v>2828</v>
      </c>
    </row>
    <row r="298" spans="1:32">
      <c r="A298" t="s">
        <v>992</v>
      </c>
      <c r="B298" s="3">
        <v>45801</v>
      </c>
      <c r="C298" t="str">
        <f t="shared" si="37"/>
        <v>May</v>
      </c>
      <c r="D298">
        <f t="shared" si="38"/>
        <v>2025</v>
      </c>
      <c r="E298" s="3">
        <v>45803</v>
      </c>
      <c r="F298">
        <f t="shared" si="36"/>
        <v>2</v>
      </c>
      <c r="G298" t="s">
        <v>993</v>
      </c>
      <c r="H298" t="s">
        <v>89</v>
      </c>
      <c r="I298" t="s">
        <v>95</v>
      </c>
      <c r="J298" t="s">
        <v>25</v>
      </c>
      <c r="K298" t="s">
        <v>236</v>
      </c>
      <c r="L298" t="s">
        <v>237</v>
      </c>
      <c r="M298" t="s">
        <v>41</v>
      </c>
      <c r="N298" t="s">
        <v>57</v>
      </c>
      <c r="O298" t="s">
        <v>994</v>
      </c>
      <c r="P298" t="s">
        <v>44</v>
      </c>
      <c r="Q298">
        <v>6</v>
      </c>
      <c r="R298">
        <v>3495.41</v>
      </c>
      <c r="S298" s="6">
        <v>0.15</v>
      </c>
      <c r="T298" s="6">
        <f t="shared" si="39"/>
        <v>0.15</v>
      </c>
      <c r="U298">
        <v>17826.59</v>
      </c>
      <c r="V298">
        <f t="shared" si="40"/>
        <v>17826.591</v>
      </c>
      <c r="W298" s="6">
        <f t="shared" si="41"/>
        <v>1.0000000002037268E-3</v>
      </c>
      <c r="X298">
        <v>10855.35</v>
      </c>
      <c r="Y298">
        <v>6971.24</v>
      </c>
      <c r="Z298">
        <f t="shared" si="42"/>
        <v>6971.241</v>
      </c>
      <c r="AA298" s="6">
        <f t="shared" si="43"/>
        <v>1.0000000002037268E-3</v>
      </c>
      <c r="AB298">
        <f t="shared" si="44"/>
        <v>0.39105855965394615</v>
      </c>
      <c r="AC298" t="s">
        <v>32</v>
      </c>
      <c r="AD298" t="s">
        <v>33</v>
      </c>
      <c r="AE298" t="s">
        <v>2828</v>
      </c>
    </row>
    <row r="299" spans="1:32">
      <c r="A299" t="s">
        <v>995</v>
      </c>
      <c r="B299" s="3">
        <v>45594</v>
      </c>
      <c r="C299" t="str">
        <f t="shared" si="37"/>
        <v>October</v>
      </c>
      <c r="D299">
        <f t="shared" si="38"/>
        <v>2024</v>
      </c>
      <c r="E299" s="3">
        <v>45454</v>
      </c>
      <c r="F299">
        <f t="shared" si="36"/>
        <v>-140</v>
      </c>
      <c r="G299" t="s">
        <v>996</v>
      </c>
      <c r="H299" t="s">
        <v>132</v>
      </c>
      <c r="I299" t="s">
        <v>90</v>
      </c>
      <c r="J299" t="s">
        <v>54</v>
      </c>
      <c r="K299" t="s">
        <v>247</v>
      </c>
      <c r="L299" t="s">
        <v>248</v>
      </c>
      <c r="M299" t="s">
        <v>74</v>
      </c>
      <c r="N299" t="s">
        <v>80</v>
      </c>
      <c r="O299" t="s">
        <v>997</v>
      </c>
      <c r="P299" t="s">
        <v>44</v>
      </c>
      <c r="Q299">
        <v>6</v>
      </c>
      <c r="R299">
        <v>1169.92</v>
      </c>
      <c r="S299" s="6">
        <v>0.15</v>
      </c>
      <c r="T299" s="6">
        <f t="shared" si="39"/>
        <v>0.15</v>
      </c>
      <c r="U299">
        <v>5966.59</v>
      </c>
      <c r="V299">
        <f t="shared" si="40"/>
        <v>5966.5920000000006</v>
      </c>
      <c r="W299" s="6">
        <f t="shared" si="41"/>
        <v>2.0000000004074536E-3</v>
      </c>
      <c r="X299">
        <v>3994.72</v>
      </c>
      <c r="Y299">
        <v>1971.87</v>
      </c>
      <c r="Z299">
        <f t="shared" si="42"/>
        <v>1971.8720000000008</v>
      </c>
      <c r="AA299" s="6">
        <f t="shared" si="43"/>
        <v>2.000000000862201E-3</v>
      </c>
      <c r="AB299">
        <f t="shared" si="44"/>
        <v>0.33048547646629778</v>
      </c>
      <c r="AC299" t="s">
        <v>32</v>
      </c>
      <c r="AD299" t="s">
        <v>33</v>
      </c>
      <c r="AE299" t="s">
        <v>2826</v>
      </c>
      <c r="AF299" s="10" t="s">
        <v>2790</v>
      </c>
    </row>
    <row r="300" spans="1:32">
      <c r="A300" t="s">
        <v>998</v>
      </c>
      <c r="B300" s="3">
        <v>45680</v>
      </c>
      <c r="C300" t="str">
        <f t="shared" si="37"/>
        <v>January</v>
      </c>
      <c r="D300">
        <f t="shared" si="38"/>
        <v>2025</v>
      </c>
      <c r="E300" s="3">
        <v>45683</v>
      </c>
      <c r="F300">
        <f t="shared" si="36"/>
        <v>3</v>
      </c>
      <c r="G300" t="s">
        <v>999</v>
      </c>
      <c r="H300" t="s">
        <v>47</v>
      </c>
      <c r="I300" t="s">
        <v>24</v>
      </c>
      <c r="J300" t="s">
        <v>54</v>
      </c>
      <c r="K300" t="s">
        <v>185</v>
      </c>
      <c r="L300" t="s">
        <v>186</v>
      </c>
      <c r="M300" t="s">
        <v>74</v>
      </c>
      <c r="N300" t="s">
        <v>80</v>
      </c>
      <c r="O300" t="s">
        <v>1000</v>
      </c>
      <c r="P300" t="s">
        <v>50</v>
      </c>
      <c r="Q300">
        <v>7</v>
      </c>
      <c r="R300">
        <v>348.49</v>
      </c>
      <c r="S300" s="6">
        <v>0.2</v>
      </c>
      <c r="T300" s="6">
        <f t="shared" si="39"/>
        <v>0.2</v>
      </c>
      <c r="U300">
        <v>1951.54</v>
      </c>
      <c r="V300">
        <f t="shared" si="40"/>
        <v>1951.5440000000003</v>
      </c>
      <c r="W300" s="6">
        <f t="shared" si="41"/>
        <v>4.0000000003601599E-3</v>
      </c>
      <c r="X300">
        <v>1609.95</v>
      </c>
      <c r="Y300">
        <v>341.59</v>
      </c>
      <c r="Z300">
        <f t="shared" si="42"/>
        <v>341.59400000000028</v>
      </c>
      <c r="AA300" s="6">
        <f t="shared" si="43"/>
        <v>4.0000000003033165E-3</v>
      </c>
      <c r="AB300">
        <f t="shared" si="44"/>
        <v>0.17503781621116421</v>
      </c>
      <c r="AC300" t="s">
        <v>155</v>
      </c>
      <c r="AD300" t="s">
        <v>103</v>
      </c>
      <c r="AE300" t="s">
        <v>2827</v>
      </c>
      <c r="AF300" s="10" t="s">
        <v>2821</v>
      </c>
    </row>
    <row r="301" spans="1:32">
      <c r="A301" t="s">
        <v>1001</v>
      </c>
      <c r="B301" s="3">
        <v>45454</v>
      </c>
      <c r="C301" t="str">
        <f t="shared" si="37"/>
        <v>June</v>
      </c>
      <c r="D301">
        <f t="shared" si="38"/>
        <v>2024</v>
      </c>
      <c r="E301" s="3">
        <v>45637</v>
      </c>
      <c r="F301">
        <f t="shared" si="36"/>
        <v>183</v>
      </c>
      <c r="G301" t="s">
        <v>1002</v>
      </c>
      <c r="H301" t="s">
        <v>118</v>
      </c>
      <c r="I301" t="s">
        <v>37</v>
      </c>
      <c r="J301" t="s">
        <v>63</v>
      </c>
      <c r="K301" t="s">
        <v>180</v>
      </c>
      <c r="L301" t="s">
        <v>181</v>
      </c>
      <c r="M301" t="s">
        <v>74</v>
      </c>
      <c r="N301" t="s">
        <v>75</v>
      </c>
      <c r="O301" t="s">
        <v>1003</v>
      </c>
      <c r="P301" t="s">
        <v>59</v>
      </c>
      <c r="Q301">
        <v>7</v>
      </c>
      <c r="R301">
        <v>1719.05</v>
      </c>
      <c r="S301" s="6">
        <v>0.1</v>
      </c>
      <c r="T301" s="6">
        <f t="shared" si="39"/>
        <v>0.1</v>
      </c>
      <c r="U301">
        <v>10830.02</v>
      </c>
      <c r="V301">
        <f t="shared" si="40"/>
        <v>10830.015000000001</v>
      </c>
      <c r="W301" s="6">
        <f t="shared" si="41"/>
        <v>-4.9999999991996447E-3</v>
      </c>
      <c r="X301">
        <v>7055.31</v>
      </c>
      <c r="Y301">
        <v>3774.71</v>
      </c>
      <c r="Z301">
        <f t="shared" si="42"/>
        <v>3774.7050000000008</v>
      </c>
      <c r="AA301" s="6">
        <f t="shared" si="43"/>
        <v>-4.9999999991996447E-3</v>
      </c>
      <c r="AB301">
        <f t="shared" si="44"/>
        <v>0.34854106850267524</v>
      </c>
      <c r="AC301" t="s">
        <v>32</v>
      </c>
      <c r="AD301" t="s">
        <v>33</v>
      </c>
      <c r="AE301" t="s">
        <v>2828</v>
      </c>
    </row>
    <row r="302" spans="1:32">
      <c r="A302" t="s">
        <v>1004</v>
      </c>
      <c r="B302" s="3">
        <v>45397</v>
      </c>
      <c r="C302" t="str">
        <f t="shared" si="37"/>
        <v>April</v>
      </c>
      <c r="D302">
        <f t="shared" si="38"/>
        <v>2024</v>
      </c>
      <c r="E302" s="3">
        <v>45405</v>
      </c>
      <c r="F302">
        <f t="shared" si="36"/>
        <v>8</v>
      </c>
      <c r="G302" t="s">
        <v>1005</v>
      </c>
      <c r="H302" t="s">
        <v>162</v>
      </c>
      <c r="I302" t="s">
        <v>37</v>
      </c>
      <c r="J302" t="s">
        <v>25</v>
      </c>
      <c r="K302" t="s">
        <v>122</v>
      </c>
      <c r="L302" t="s">
        <v>123</v>
      </c>
      <c r="M302" t="s">
        <v>74</v>
      </c>
      <c r="N302" t="s">
        <v>75</v>
      </c>
      <c r="O302" t="s">
        <v>1006</v>
      </c>
      <c r="P302" t="s">
        <v>31</v>
      </c>
      <c r="Q302">
        <v>9</v>
      </c>
      <c r="R302">
        <v>3893.74</v>
      </c>
      <c r="S302" s="6">
        <v>0.1</v>
      </c>
      <c r="T302" s="6">
        <f t="shared" si="39"/>
        <v>0.1</v>
      </c>
      <c r="U302">
        <v>31539.29</v>
      </c>
      <c r="V302">
        <f t="shared" si="40"/>
        <v>31539.293999999998</v>
      </c>
      <c r="W302" s="6">
        <f t="shared" si="41"/>
        <v>3.9999999971769284E-3</v>
      </c>
      <c r="X302">
        <v>22100.14</v>
      </c>
      <c r="Y302">
        <v>9439.15</v>
      </c>
      <c r="Z302">
        <f t="shared" si="42"/>
        <v>9439.1539999999986</v>
      </c>
      <c r="AA302" s="6">
        <f t="shared" si="43"/>
        <v>3.9999999989959178E-3</v>
      </c>
      <c r="AB302">
        <f t="shared" si="44"/>
        <v>0.29928234918638313</v>
      </c>
      <c r="AC302" t="s">
        <v>32</v>
      </c>
      <c r="AD302" t="s">
        <v>33</v>
      </c>
      <c r="AE302" t="s">
        <v>2828</v>
      </c>
    </row>
    <row r="303" spans="1:32">
      <c r="A303" t="s">
        <v>1007</v>
      </c>
      <c r="B303" s="3">
        <v>45805</v>
      </c>
      <c r="C303" t="str">
        <f t="shared" si="37"/>
        <v>May</v>
      </c>
      <c r="D303">
        <f t="shared" si="38"/>
        <v>2025</v>
      </c>
      <c r="E303" s="3">
        <v>45663</v>
      </c>
      <c r="F303">
        <f t="shared" si="36"/>
        <v>-142</v>
      </c>
      <c r="G303" t="s">
        <v>1008</v>
      </c>
      <c r="H303" t="s">
        <v>47</v>
      </c>
      <c r="I303" t="s">
        <v>95</v>
      </c>
      <c r="J303" t="s">
        <v>38</v>
      </c>
      <c r="K303" t="s">
        <v>145</v>
      </c>
      <c r="L303" t="s">
        <v>146</v>
      </c>
      <c r="M303" t="s">
        <v>74</v>
      </c>
      <c r="N303" t="s">
        <v>171</v>
      </c>
      <c r="O303" t="s">
        <v>1009</v>
      </c>
      <c r="P303" t="s">
        <v>44</v>
      </c>
      <c r="Q303">
        <v>4</v>
      </c>
      <c r="R303">
        <v>1654.11</v>
      </c>
      <c r="S303" s="6">
        <v>0.05</v>
      </c>
      <c r="T303" s="6">
        <f t="shared" si="39"/>
        <v>0.05</v>
      </c>
      <c r="U303">
        <v>6285.62</v>
      </c>
      <c r="V303">
        <f t="shared" si="40"/>
        <v>6285.6179999999995</v>
      </c>
      <c r="W303" s="6">
        <f t="shared" si="41"/>
        <v>-2.0000000004074536E-3</v>
      </c>
      <c r="X303">
        <v>3705.38</v>
      </c>
      <c r="Y303">
        <v>2580.2399999999998</v>
      </c>
      <c r="Z303">
        <f t="shared" si="42"/>
        <v>2580.2379999999994</v>
      </c>
      <c r="AA303" s="6">
        <f t="shared" si="43"/>
        <v>-2.0000000004074536E-3</v>
      </c>
      <c r="AB303">
        <f t="shared" si="44"/>
        <v>0.41049869718458865</v>
      </c>
      <c r="AC303" t="s">
        <v>32</v>
      </c>
      <c r="AD303" t="s">
        <v>33</v>
      </c>
      <c r="AE303" t="s">
        <v>2826</v>
      </c>
      <c r="AF303" s="10" t="s">
        <v>2790</v>
      </c>
    </row>
    <row r="304" spans="1:32">
      <c r="A304" t="s">
        <v>1010</v>
      </c>
      <c r="B304" s="3">
        <v>45753</v>
      </c>
      <c r="C304" t="str">
        <f t="shared" si="37"/>
        <v>April</v>
      </c>
      <c r="D304">
        <f t="shared" si="38"/>
        <v>2025</v>
      </c>
      <c r="E304" s="3">
        <v>45997</v>
      </c>
      <c r="F304">
        <f t="shared" si="36"/>
        <v>244</v>
      </c>
      <c r="G304" t="s">
        <v>1011</v>
      </c>
      <c r="H304" t="s">
        <v>79</v>
      </c>
      <c r="I304" t="s">
        <v>24</v>
      </c>
      <c r="J304" t="s">
        <v>63</v>
      </c>
      <c r="K304" t="s">
        <v>190</v>
      </c>
      <c r="L304" t="s">
        <v>191</v>
      </c>
      <c r="M304" t="s">
        <v>28</v>
      </c>
      <c r="N304" t="s">
        <v>124</v>
      </c>
      <c r="O304" t="s">
        <v>1012</v>
      </c>
      <c r="P304" t="s">
        <v>44</v>
      </c>
      <c r="Q304">
        <v>2</v>
      </c>
      <c r="R304">
        <v>2703.28</v>
      </c>
      <c r="S304" s="6">
        <v>0.25</v>
      </c>
      <c r="T304" s="6">
        <f t="shared" si="39"/>
        <v>0.25</v>
      </c>
      <c r="U304">
        <v>4054.92</v>
      </c>
      <c r="V304">
        <f t="shared" si="40"/>
        <v>4054.92</v>
      </c>
      <c r="W304" s="6">
        <f t="shared" si="41"/>
        <v>0</v>
      </c>
      <c r="X304">
        <v>2424.83</v>
      </c>
      <c r="Y304">
        <v>1630.09</v>
      </c>
      <c r="Z304">
        <f t="shared" si="42"/>
        <v>1630.0900000000001</v>
      </c>
      <c r="AA304" s="6">
        <f t="shared" si="43"/>
        <v>0</v>
      </c>
      <c r="AB304">
        <f t="shared" si="44"/>
        <v>0.40200299882611745</v>
      </c>
      <c r="AC304" t="s">
        <v>32</v>
      </c>
      <c r="AD304" t="s">
        <v>33</v>
      </c>
      <c r="AE304" t="s">
        <v>2828</v>
      </c>
    </row>
    <row r="305" spans="1:32">
      <c r="A305" t="s">
        <v>1013</v>
      </c>
      <c r="B305" s="3">
        <v>45466</v>
      </c>
      <c r="C305" t="str">
        <f t="shared" si="37"/>
        <v>June</v>
      </c>
      <c r="D305">
        <f t="shared" si="38"/>
        <v>2024</v>
      </c>
      <c r="E305" s="3">
        <v>45471</v>
      </c>
      <c r="F305">
        <f t="shared" si="36"/>
        <v>5</v>
      </c>
      <c r="G305" t="s">
        <v>1014</v>
      </c>
      <c r="H305" t="s">
        <v>162</v>
      </c>
      <c r="I305" t="s">
        <v>95</v>
      </c>
      <c r="J305" t="s">
        <v>63</v>
      </c>
      <c r="K305" t="s">
        <v>180</v>
      </c>
      <c r="L305" t="s">
        <v>181</v>
      </c>
      <c r="M305" t="s">
        <v>41</v>
      </c>
      <c r="N305" t="s">
        <v>66</v>
      </c>
      <c r="O305" t="s">
        <v>1015</v>
      </c>
      <c r="P305" t="s">
        <v>59</v>
      </c>
      <c r="Q305">
        <v>2</v>
      </c>
      <c r="R305">
        <v>1313.14</v>
      </c>
      <c r="S305" s="6">
        <v>0.1</v>
      </c>
      <c r="T305" s="6">
        <f t="shared" si="39"/>
        <v>0.1</v>
      </c>
      <c r="U305">
        <v>2363.65</v>
      </c>
      <c r="V305">
        <f t="shared" si="40"/>
        <v>2363.652</v>
      </c>
      <c r="W305" s="6">
        <f t="shared" si="41"/>
        <v>1.9999999999527063E-3</v>
      </c>
      <c r="X305">
        <v>1876.1</v>
      </c>
      <c r="Y305">
        <v>487.55</v>
      </c>
      <c r="Z305">
        <f t="shared" si="42"/>
        <v>487.55200000000013</v>
      </c>
      <c r="AA305" s="6">
        <f t="shared" si="43"/>
        <v>2.0000000001232365E-3</v>
      </c>
      <c r="AB305">
        <f t="shared" si="44"/>
        <v>0.20627063544041174</v>
      </c>
      <c r="AC305" t="s">
        <v>111</v>
      </c>
      <c r="AD305" t="s">
        <v>103</v>
      </c>
      <c r="AE305" t="s">
        <v>2827</v>
      </c>
      <c r="AF305" t="s">
        <v>2814</v>
      </c>
    </row>
    <row r="306" spans="1:32">
      <c r="A306" t="s">
        <v>1016</v>
      </c>
      <c r="B306" s="3">
        <v>45357</v>
      </c>
      <c r="C306" t="str">
        <f t="shared" si="37"/>
        <v>March</v>
      </c>
      <c r="D306">
        <f t="shared" si="38"/>
        <v>2024</v>
      </c>
      <c r="E306" s="3">
        <v>45364</v>
      </c>
      <c r="F306">
        <f t="shared" si="36"/>
        <v>7</v>
      </c>
      <c r="G306" t="s">
        <v>1017</v>
      </c>
      <c r="H306" t="s">
        <v>23</v>
      </c>
      <c r="I306" t="s">
        <v>24</v>
      </c>
      <c r="J306" t="s">
        <v>25</v>
      </c>
      <c r="K306" t="s">
        <v>122</v>
      </c>
      <c r="L306" t="s">
        <v>123</v>
      </c>
      <c r="M306" t="s">
        <v>41</v>
      </c>
      <c r="N306" t="s">
        <v>57</v>
      </c>
      <c r="O306" t="s">
        <v>1018</v>
      </c>
      <c r="P306" t="s">
        <v>59</v>
      </c>
      <c r="Q306">
        <v>6</v>
      </c>
      <c r="R306">
        <v>2403.0500000000002</v>
      </c>
      <c r="S306" s="6">
        <v>0.1</v>
      </c>
      <c r="T306" s="6">
        <f t="shared" si="39"/>
        <v>0.1</v>
      </c>
      <c r="U306">
        <v>12976.47</v>
      </c>
      <c r="V306">
        <f t="shared" si="40"/>
        <v>12976.470000000001</v>
      </c>
      <c r="W306" s="6">
        <f t="shared" si="41"/>
        <v>0</v>
      </c>
      <c r="X306">
        <v>10019.98</v>
      </c>
      <c r="Y306">
        <v>2956.49</v>
      </c>
      <c r="Z306">
        <f t="shared" si="42"/>
        <v>2956.4900000000016</v>
      </c>
      <c r="AA306" s="6">
        <f t="shared" si="43"/>
        <v>0</v>
      </c>
      <c r="AB306">
        <f t="shared" si="44"/>
        <v>0.22783468847845378</v>
      </c>
      <c r="AC306" t="s">
        <v>32</v>
      </c>
      <c r="AD306" t="s">
        <v>33</v>
      </c>
      <c r="AE306" t="s">
        <v>2828</v>
      </c>
    </row>
    <row r="307" spans="1:32">
      <c r="A307" t="s">
        <v>1019</v>
      </c>
      <c r="B307" s="3">
        <v>45296</v>
      </c>
      <c r="C307" t="str">
        <f t="shared" si="37"/>
        <v>January</v>
      </c>
      <c r="D307">
        <f t="shared" si="38"/>
        <v>2024</v>
      </c>
      <c r="E307" s="3">
        <v>45414</v>
      </c>
      <c r="F307">
        <f t="shared" si="36"/>
        <v>118</v>
      </c>
      <c r="G307" t="s">
        <v>1020</v>
      </c>
      <c r="H307" t="s">
        <v>62</v>
      </c>
      <c r="I307" t="s">
        <v>24</v>
      </c>
      <c r="J307" t="s">
        <v>38</v>
      </c>
      <c r="K307" t="s">
        <v>166</v>
      </c>
      <c r="L307" t="s">
        <v>167</v>
      </c>
      <c r="M307" t="s">
        <v>41</v>
      </c>
      <c r="N307" t="s">
        <v>66</v>
      </c>
      <c r="O307" t="s">
        <v>1021</v>
      </c>
      <c r="P307" t="s">
        <v>50</v>
      </c>
      <c r="Q307">
        <v>4</v>
      </c>
      <c r="R307">
        <v>4156.0600000000004</v>
      </c>
      <c r="S307" s="6">
        <v>0.55000000000000004</v>
      </c>
      <c r="T307" s="6">
        <f t="shared" si="39"/>
        <v>0.55000000000000004</v>
      </c>
      <c r="U307">
        <v>13299.39</v>
      </c>
      <c r="V307">
        <f t="shared" si="40"/>
        <v>7480.9080000000004</v>
      </c>
      <c r="W307" s="6">
        <f t="shared" si="41"/>
        <v>-5818.4819999999991</v>
      </c>
      <c r="X307">
        <v>9851.91</v>
      </c>
      <c r="Y307">
        <v>3447.48</v>
      </c>
      <c r="Z307">
        <f t="shared" si="42"/>
        <v>-2371.0019999999995</v>
      </c>
      <c r="AA307" s="6">
        <f t="shared" si="43"/>
        <v>-5818.482</v>
      </c>
      <c r="AB307">
        <f t="shared" si="44"/>
        <v>-0.31694040349112695</v>
      </c>
      <c r="AC307" t="s">
        <v>32</v>
      </c>
      <c r="AD307" t="s">
        <v>68</v>
      </c>
      <c r="AE307" t="s">
        <v>2827</v>
      </c>
      <c r="AF307" t="s">
        <v>2795</v>
      </c>
    </row>
    <row r="308" spans="1:32">
      <c r="A308" t="s">
        <v>1022</v>
      </c>
      <c r="B308" s="3">
        <v>45708</v>
      </c>
      <c r="C308" t="str">
        <f t="shared" si="37"/>
        <v>February</v>
      </c>
      <c r="D308">
        <f t="shared" si="38"/>
        <v>2025</v>
      </c>
      <c r="E308" s="3">
        <v>45711</v>
      </c>
      <c r="F308">
        <f t="shared" si="36"/>
        <v>3</v>
      </c>
      <c r="G308" t="s">
        <v>1023</v>
      </c>
      <c r="H308" t="s">
        <v>128</v>
      </c>
      <c r="I308" t="s">
        <v>24</v>
      </c>
      <c r="J308" t="s">
        <v>25</v>
      </c>
      <c r="K308" t="s">
        <v>26</v>
      </c>
      <c r="L308" t="s">
        <v>27</v>
      </c>
      <c r="M308" t="s">
        <v>74</v>
      </c>
      <c r="N308" t="s">
        <v>171</v>
      </c>
      <c r="O308" t="s">
        <v>1024</v>
      </c>
      <c r="P308" t="s">
        <v>31</v>
      </c>
      <c r="Q308">
        <v>4</v>
      </c>
      <c r="R308">
        <v>3673.11</v>
      </c>
      <c r="S308" s="6">
        <v>0</v>
      </c>
      <c r="T308" s="6">
        <f t="shared" si="39"/>
        <v>0</v>
      </c>
      <c r="U308">
        <v>14692.44</v>
      </c>
      <c r="V308">
        <f t="shared" si="40"/>
        <v>14692.44</v>
      </c>
      <c r="W308" s="6">
        <f t="shared" si="41"/>
        <v>0</v>
      </c>
      <c r="X308">
        <v>10082.19</v>
      </c>
      <c r="Y308">
        <v>4610.25</v>
      </c>
      <c r="Z308">
        <f t="shared" si="42"/>
        <v>4610.25</v>
      </c>
      <c r="AA308" s="6">
        <f t="shared" si="43"/>
        <v>0</v>
      </c>
      <c r="AB308">
        <f t="shared" si="44"/>
        <v>0.31378382351740075</v>
      </c>
      <c r="AC308" t="s">
        <v>32</v>
      </c>
      <c r="AD308" t="s">
        <v>33</v>
      </c>
      <c r="AE308" t="s">
        <v>2828</v>
      </c>
    </row>
    <row r="309" spans="1:32">
      <c r="A309" t="s">
        <v>1025</v>
      </c>
      <c r="B309" s="3">
        <v>45998</v>
      </c>
      <c r="C309" t="str">
        <f t="shared" si="37"/>
        <v>December</v>
      </c>
      <c r="D309">
        <f t="shared" si="38"/>
        <v>2025</v>
      </c>
      <c r="E309" s="3">
        <v>45857</v>
      </c>
      <c r="F309">
        <f t="shared" si="36"/>
        <v>-141</v>
      </c>
      <c r="G309" t="s">
        <v>1026</v>
      </c>
      <c r="H309" t="s">
        <v>62</v>
      </c>
      <c r="I309" t="s">
        <v>90</v>
      </c>
      <c r="J309" t="s">
        <v>25</v>
      </c>
      <c r="K309" t="s">
        <v>136</v>
      </c>
      <c r="L309" t="s">
        <v>137</v>
      </c>
      <c r="M309" t="s">
        <v>41</v>
      </c>
      <c r="N309" t="s">
        <v>42</v>
      </c>
      <c r="O309" t="s">
        <v>1027</v>
      </c>
      <c r="P309" t="s">
        <v>50</v>
      </c>
      <c r="Q309">
        <v>9</v>
      </c>
      <c r="R309">
        <v>4093.04</v>
      </c>
      <c r="S309" s="6">
        <v>0.2</v>
      </c>
      <c r="T309" s="6">
        <f t="shared" si="39"/>
        <v>0.2</v>
      </c>
      <c r="U309">
        <v>29469.89</v>
      </c>
      <c r="V309">
        <f t="shared" si="40"/>
        <v>29469.888000000003</v>
      </c>
      <c r="W309" s="6">
        <f t="shared" si="41"/>
        <v>-1.9999999967694748E-3</v>
      </c>
      <c r="X309">
        <v>18935.509999999998</v>
      </c>
      <c r="Y309">
        <v>10534.38</v>
      </c>
      <c r="Z309">
        <f t="shared" si="42"/>
        <v>10534.378000000004</v>
      </c>
      <c r="AA309" s="6">
        <f t="shared" si="43"/>
        <v>-1.9999999949504854E-3</v>
      </c>
      <c r="AB309">
        <f t="shared" si="44"/>
        <v>0.3574624375905332</v>
      </c>
      <c r="AC309" t="s">
        <v>111</v>
      </c>
      <c r="AD309" t="s">
        <v>68</v>
      </c>
      <c r="AE309" t="s">
        <v>2826</v>
      </c>
      <c r="AF309" s="10" t="s">
        <v>2806</v>
      </c>
    </row>
    <row r="310" spans="1:32">
      <c r="A310" t="s">
        <v>1028</v>
      </c>
      <c r="B310" s="3">
        <v>45821</v>
      </c>
      <c r="C310" t="str">
        <f t="shared" si="37"/>
        <v>June</v>
      </c>
      <c r="D310">
        <f t="shared" si="38"/>
        <v>2025</v>
      </c>
      <c r="E310" s="3">
        <v>45827</v>
      </c>
      <c r="F310">
        <f t="shared" si="36"/>
        <v>6</v>
      </c>
      <c r="G310" t="s">
        <v>1029</v>
      </c>
      <c r="H310" t="s">
        <v>141</v>
      </c>
      <c r="I310" t="s">
        <v>24</v>
      </c>
      <c r="J310" t="s">
        <v>25</v>
      </c>
      <c r="K310" t="s">
        <v>26</v>
      </c>
      <c r="L310" t="s">
        <v>27</v>
      </c>
      <c r="M310" t="s">
        <v>41</v>
      </c>
      <c r="N310" t="s">
        <v>42</v>
      </c>
      <c r="O310" t="s">
        <v>1030</v>
      </c>
      <c r="P310" t="s">
        <v>50</v>
      </c>
      <c r="Q310">
        <v>4</v>
      </c>
      <c r="R310">
        <v>731.57</v>
      </c>
      <c r="S310" s="6">
        <v>0.2</v>
      </c>
      <c r="T310" s="6">
        <f t="shared" si="39"/>
        <v>0.2</v>
      </c>
      <c r="U310">
        <v>2341.02</v>
      </c>
      <c r="V310">
        <f t="shared" si="40"/>
        <v>2341.0240000000003</v>
      </c>
      <c r="W310" s="6">
        <f t="shared" si="41"/>
        <v>4.0000000003601599E-3</v>
      </c>
      <c r="X310">
        <v>1565.49</v>
      </c>
      <c r="Y310">
        <v>775.53</v>
      </c>
      <c r="Z310">
        <f t="shared" si="42"/>
        <v>775.53400000000033</v>
      </c>
      <c r="AA310" s="6">
        <f t="shared" si="43"/>
        <v>4.0000000003601599E-3</v>
      </c>
      <c r="AB310">
        <f t="shared" si="44"/>
        <v>0.33127981601213835</v>
      </c>
      <c r="AC310" t="s">
        <v>32</v>
      </c>
      <c r="AD310" t="s">
        <v>33</v>
      </c>
      <c r="AE310" t="s">
        <v>2828</v>
      </c>
    </row>
    <row r="311" spans="1:32">
      <c r="A311" t="s">
        <v>1031</v>
      </c>
      <c r="B311" s="3">
        <v>45493</v>
      </c>
      <c r="C311" t="str">
        <f t="shared" si="37"/>
        <v>July</v>
      </c>
      <c r="D311">
        <f t="shared" si="38"/>
        <v>2024</v>
      </c>
      <c r="E311" s="3">
        <v>45495</v>
      </c>
      <c r="F311">
        <f t="shared" si="36"/>
        <v>2</v>
      </c>
      <c r="G311" t="s">
        <v>1032</v>
      </c>
      <c r="H311" t="s">
        <v>62</v>
      </c>
      <c r="I311" t="s">
        <v>24</v>
      </c>
      <c r="J311" t="s">
        <v>54</v>
      </c>
      <c r="K311" t="s">
        <v>247</v>
      </c>
      <c r="L311" t="s">
        <v>248</v>
      </c>
      <c r="M311" t="s">
        <v>41</v>
      </c>
      <c r="N311" t="s">
        <v>42</v>
      </c>
      <c r="O311" t="s">
        <v>1033</v>
      </c>
      <c r="P311" t="s">
        <v>50</v>
      </c>
      <c r="Q311">
        <v>7</v>
      </c>
      <c r="R311">
        <v>2060.73</v>
      </c>
      <c r="S311" s="6">
        <v>0.1</v>
      </c>
      <c r="T311" s="6">
        <f t="shared" si="39"/>
        <v>0.1</v>
      </c>
      <c r="U311">
        <v>12982.6</v>
      </c>
      <c r="V311">
        <f t="shared" si="40"/>
        <v>12982.599</v>
      </c>
      <c r="W311" s="6">
        <f t="shared" si="41"/>
        <v>-1.0000000002037268E-3</v>
      </c>
      <c r="X311">
        <v>7246.36</v>
      </c>
      <c r="Y311">
        <v>5736.24</v>
      </c>
      <c r="Z311">
        <f t="shared" si="42"/>
        <v>5736.2390000000005</v>
      </c>
      <c r="AA311" s="6">
        <f t="shared" si="43"/>
        <v>-9.9999999929423211E-4</v>
      </c>
      <c r="AB311">
        <f t="shared" si="44"/>
        <v>0.441840574448922</v>
      </c>
      <c r="AC311" t="s">
        <v>32</v>
      </c>
      <c r="AD311" t="s">
        <v>68</v>
      </c>
      <c r="AE311" t="s">
        <v>2827</v>
      </c>
      <c r="AF311" t="s">
        <v>2795</v>
      </c>
    </row>
    <row r="312" spans="1:32">
      <c r="A312" t="s">
        <v>1034</v>
      </c>
      <c r="B312" s="3">
        <v>45389</v>
      </c>
      <c r="C312" t="str">
        <f t="shared" si="37"/>
        <v>April</v>
      </c>
      <c r="D312">
        <f t="shared" si="38"/>
        <v>2024</v>
      </c>
      <c r="E312" s="3">
        <v>45511</v>
      </c>
      <c r="F312">
        <f t="shared" si="36"/>
        <v>122</v>
      </c>
      <c r="G312" t="s">
        <v>1035</v>
      </c>
      <c r="H312" t="s">
        <v>141</v>
      </c>
      <c r="I312" t="s">
        <v>37</v>
      </c>
      <c r="J312" t="s">
        <v>54</v>
      </c>
      <c r="K312" t="s">
        <v>247</v>
      </c>
      <c r="L312" t="s">
        <v>248</v>
      </c>
      <c r="M312" t="s">
        <v>74</v>
      </c>
      <c r="N312" t="s">
        <v>274</v>
      </c>
      <c r="O312" t="s">
        <v>1036</v>
      </c>
      <c r="P312" t="s">
        <v>50</v>
      </c>
      <c r="Q312">
        <v>8</v>
      </c>
      <c r="R312">
        <v>2034.25</v>
      </c>
      <c r="S312" s="6">
        <v>0</v>
      </c>
      <c r="T312" s="6">
        <f t="shared" si="39"/>
        <v>0</v>
      </c>
      <c r="U312">
        <v>16274</v>
      </c>
      <c r="V312">
        <f t="shared" si="40"/>
        <v>16274</v>
      </c>
      <c r="W312" s="6">
        <f t="shared" si="41"/>
        <v>0</v>
      </c>
      <c r="X312">
        <v>9424.25</v>
      </c>
      <c r="Y312">
        <v>6849.75</v>
      </c>
      <c r="Z312">
        <f t="shared" si="42"/>
        <v>6849.75</v>
      </c>
      <c r="AA312" s="6">
        <f t="shared" si="43"/>
        <v>0</v>
      </c>
      <c r="AB312">
        <f t="shared" si="44"/>
        <v>0.42090143787636719</v>
      </c>
      <c r="AC312" t="s">
        <v>32</v>
      </c>
      <c r="AD312" t="s">
        <v>33</v>
      </c>
      <c r="AE312" t="s">
        <v>2828</v>
      </c>
    </row>
    <row r="313" spans="1:32">
      <c r="A313" t="s">
        <v>1037</v>
      </c>
      <c r="B313" s="3">
        <v>45409</v>
      </c>
      <c r="C313" t="str">
        <f t="shared" si="37"/>
        <v>April</v>
      </c>
      <c r="D313">
        <f t="shared" si="38"/>
        <v>2024</v>
      </c>
      <c r="E313" s="3">
        <v>45327</v>
      </c>
      <c r="F313">
        <f t="shared" si="36"/>
        <v>-82</v>
      </c>
      <c r="G313" t="s">
        <v>1038</v>
      </c>
      <c r="H313" t="s">
        <v>36</v>
      </c>
      <c r="I313" t="s">
        <v>90</v>
      </c>
      <c r="J313" t="s">
        <v>54</v>
      </c>
      <c r="K313" t="s">
        <v>175</v>
      </c>
      <c r="L313" t="s">
        <v>176</v>
      </c>
      <c r="M313" t="s">
        <v>28</v>
      </c>
      <c r="N313" t="s">
        <v>153</v>
      </c>
      <c r="O313" t="s">
        <v>1039</v>
      </c>
      <c r="P313" t="s">
        <v>31</v>
      </c>
      <c r="Q313">
        <v>5</v>
      </c>
      <c r="R313">
        <v>554.04</v>
      </c>
      <c r="S313" s="6">
        <v>0.1</v>
      </c>
      <c r="T313" s="6">
        <f t="shared" si="39"/>
        <v>0.1</v>
      </c>
      <c r="U313">
        <v>2493.1799999999998</v>
      </c>
      <c r="V313">
        <f t="shared" si="40"/>
        <v>2493.1799999999998</v>
      </c>
      <c r="W313" s="6">
        <f t="shared" si="41"/>
        <v>0</v>
      </c>
      <c r="X313">
        <v>1764</v>
      </c>
      <c r="Y313">
        <v>729.18</v>
      </c>
      <c r="Z313">
        <f t="shared" si="42"/>
        <v>729.17999999999984</v>
      </c>
      <c r="AA313" s="6">
        <f t="shared" si="43"/>
        <v>0</v>
      </c>
      <c r="AB313">
        <f t="shared" si="44"/>
        <v>0.29246985777200196</v>
      </c>
      <c r="AC313" t="s">
        <v>32</v>
      </c>
      <c r="AD313" t="s">
        <v>33</v>
      </c>
      <c r="AE313" t="s">
        <v>2826</v>
      </c>
      <c r="AF313" s="10" t="s">
        <v>2790</v>
      </c>
    </row>
    <row r="314" spans="1:32">
      <c r="A314" t="s">
        <v>1040</v>
      </c>
      <c r="B314" s="3">
        <v>45504</v>
      </c>
      <c r="C314" t="str">
        <f t="shared" si="37"/>
        <v>July</v>
      </c>
      <c r="D314">
        <f t="shared" si="38"/>
        <v>2024</v>
      </c>
      <c r="E314" s="3">
        <v>45390</v>
      </c>
      <c r="F314">
        <f t="shared" si="36"/>
        <v>-114</v>
      </c>
      <c r="G314" t="s">
        <v>1041</v>
      </c>
      <c r="H314" t="s">
        <v>23</v>
      </c>
      <c r="I314" t="s">
        <v>37</v>
      </c>
      <c r="J314" t="s">
        <v>38</v>
      </c>
      <c r="K314" t="s">
        <v>166</v>
      </c>
      <c r="L314" t="s">
        <v>167</v>
      </c>
      <c r="M314" t="s">
        <v>74</v>
      </c>
      <c r="N314" t="s">
        <v>171</v>
      </c>
      <c r="O314" t="s">
        <v>1042</v>
      </c>
      <c r="P314" t="s">
        <v>59</v>
      </c>
      <c r="Q314">
        <v>8</v>
      </c>
      <c r="R314">
        <v>2614.7399999999998</v>
      </c>
      <c r="S314" s="6">
        <v>0</v>
      </c>
      <c r="T314" s="6">
        <f t="shared" si="39"/>
        <v>0</v>
      </c>
      <c r="U314">
        <v>15688.44</v>
      </c>
      <c r="V314">
        <f t="shared" si="40"/>
        <v>20917.919999999998</v>
      </c>
      <c r="W314" s="6">
        <f t="shared" si="41"/>
        <v>5229.4799999999977</v>
      </c>
      <c r="X314">
        <v>10047.33</v>
      </c>
      <c r="Y314">
        <v>5641.11</v>
      </c>
      <c r="Z314">
        <f t="shared" si="42"/>
        <v>10870.589999999998</v>
      </c>
      <c r="AA314" s="6">
        <f t="shared" si="43"/>
        <v>5229.4799999999987</v>
      </c>
      <c r="AB314">
        <f t="shared" si="44"/>
        <v>0.5196783427797792</v>
      </c>
      <c r="AC314" t="s">
        <v>32</v>
      </c>
      <c r="AD314" t="s">
        <v>68</v>
      </c>
      <c r="AE314" t="s">
        <v>2826</v>
      </c>
      <c r="AF314" s="10" t="s">
        <v>2793</v>
      </c>
    </row>
    <row r="315" spans="1:32">
      <c r="A315" t="s">
        <v>1043</v>
      </c>
      <c r="B315" s="3">
        <v>45807</v>
      </c>
      <c r="C315" t="str">
        <f t="shared" si="37"/>
        <v>May</v>
      </c>
      <c r="D315">
        <f t="shared" si="38"/>
        <v>2025</v>
      </c>
      <c r="E315" s="3">
        <v>45808</v>
      </c>
      <c r="F315">
        <f t="shared" si="36"/>
        <v>1</v>
      </c>
      <c r="G315" t="s">
        <v>1044</v>
      </c>
      <c r="H315" t="s">
        <v>118</v>
      </c>
      <c r="I315" t="s">
        <v>90</v>
      </c>
      <c r="J315" t="s">
        <v>25</v>
      </c>
      <c r="K315" t="s">
        <v>136</v>
      </c>
      <c r="L315" t="s">
        <v>137</v>
      </c>
      <c r="M315" t="s">
        <v>74</v>
      </c>
      <c r="N315" t="s">
        <v>171</v>
      </c>
      <c r="O315" t="s">
        <v>1045</v>
      </c>
      <c r="P315" t="s">
        <v>50</v>
      </c>
      <c r="Q315">
        <v>8</v>
      </c>
      <c r="R315">
        <v>2081.4299999999998</v>
      </c>
      <c r="S315" s="6">
        <v>0.25</v>
      </c>
      <c r="T315" s="6">
        <f t="shared" si="39"/>
        <v>0.25</v>
      </c>
      <c r="U315">
        <v>12488.58</v>
      </c>
      <c r="V315">
        <f t="shared" si="40"/>
        <v>12488.579999999998</v>
      </c>
      <c r="W315" s="6">
        <f t="shared" si="41"/>
        <v>0</v>
      </c>
      <c r="X315">
        <v>10717.4</v>
      </c>
      <c r="Y315">
        <v>1771.18</v>
      </c>
      <c r="Z315">
        <f t="shared" si="42"/>
        <v>1771.1799999999985</v>
      </c>
      <c r="AA315" s="6">
        <f t="shared" si="43"/>
        <v>0</v>
      </c>
      <c r="AB315">
        <f t="shared" si="44"/>
        <v>0.14182397037933847</v>
      </c>
      <c r="AC315" t="s">
        <v>102</v>
      </c>
      <c r="AD315" t="s">
        <v>68</v>
      </c>
      <c r="AE315" t="s">
        <v>2827</v>
      </c>
      <c r="AF315" t="s">
        <v>2808</v>
      </c>
    </row>
    <row r="316" spans="1:32">
      <c r="A316" t="s">
        <v>1046</v>
      </c>
      <c r="B316" s="3">
        <v>45795</v>
      </c>
      <c r="C316" t="str">
        <f t="shared" si="37"/>
        <v>May</v>
      </c>
      <c r="D316">
        <f t="shared" si="38"/>
        <v>2025</v>
      </c>
      <c r="E316" s="3">
        <v>45797</v>
      </c>
      <c r="F316">
        <f t="shared" si="36"/>
        <v>2</v>
      </c>
      <c r="G316" t="s">
        <v>1047</v>
      </c>
      <c r="H316" t="s">
        <v>47</v>
      </c>
      <c r="I316" t="s">
        <v>90</v>
      </c>
      <c r="J316" t="s">
        <v>63</v>
      </c>
      <c r="K316" t="s">
        <v>72</v>
      </c>
      <c r="L316" t="s">
        <v>73</v>
      </c>
      <c r="M316" t="s">
        <v>28</v>
      </c>
      <c r="N316" t="s">
        <v>91</v>
      </c>
      <c r="O316" t="s">
        <v>1048</v>
      </c>
      <c r="P316" t="s">
        <v>59</v>
      </c>
      <c r="Q316">
        <v>9</v>
      </c>
      <c r="R316">
        <v>847.76</v>
      </c>
      <c r="S316" s="6">
        <v>0.15</v>
      </c>
      <c r="T316" s="6">
        <f t="shared" si="39"/>
        <v>0.15</v>
      </c>
      <c r="U316">
        <v>6485.36</v>
      </c>
      <c r="V316">
        <f t="shared" si="40"/>
        <v>6485.3639999999996</v>
      </c>
      <c r="W316" s="6">
        <f t="shared" si="41"/>
        <v>3.9999999999054126E-3</v>
      </c>
      <c r="X316">
        <v>5376.17</v>
      </c>
      <c r="Y316">
        <v>1109.19</v>
      </c>
      <c r="Z316">
        <f t="shared" si="42"/>
        <v>1109.1939999999995</v>
      </c>
      <c r="AA316" s="6">
        <f t="shared" si="43"/>
        <v>3.9999999994506652E-3</v>
      </c>
      <c r="AB316">
        <f t="shared" si="44"/>
        <v>0.17103033846673826</v>
      </c>
      <c r="AC316" t="s">
        <v>155</v>
      </c>
      <c r="AD316" t="s">
        <v>103</v>
      </c>
      <c r="AE316" t="s">
        <v>2826</v>
      </c>
      <c r="AF316" s="10" t="s">
        <v>2820</v>
      </c>
    </row>
    <row r="317" spans="1:32">
      <c r="A317" t="s">
        <v>1049</v>
      </c>
      <c r="B317" s="3">
        <v>45329</v>
      </c>
      <c r="C317" t="str">
        <f t="shared" si="37"/>
        <v>February</v>
      </c>
      <c r="D317">
        <f t="shared" si="38"/>
        <v>2024</v>
      </c>
      <c r="E317" s="3">
        <v>45511</v>
      </c>
      <c r="F317">
        <f t="shared" si="36"/>
        <v>182</v>
      </c>
      <c r="G317" t="s">
        <v>1050</v>
      </c>
      <c r="H317" t="s">
        <v>141</v>
      </c>
      <c r="I317" t="s">
        <v>24</v>
      </c>
      <c r="J317" t="s">
        <v>25</v>
      </c>
      <c r="K317" t="s">
        <v>350</v>
      </c>
      <c r="L317" t="s">
        <v>351</v>
      </c>
      <c r="M317" t="s">
        <v>28</v>
      </c>
      <c r="N317" t="s">
        <v>29</v>
      </c>
      <c r="O317" t="s">
        <v>1051</v>
      </c>
      <c r="P317" t="s">
        <v>59</v>
      </c>
      <c r="Q317">
        <v>9</v>
      </c>
      <c r="R317">
        <v>3450.4</v>
      </c>
      <c r="S317" s="6">
        <v>0.05</v>
      </c>
      <c r="T317" s="6">
        <f t="shared" si="39"/>
        <v>0.05</v>
      </c>
      <c r="U317">
        <v>29500.92</v>
      </c>
      <c r="V317">
        <f t="shared" si="40"/>
        <v>29500.920000000002</v>
      </c>
      <c r="W317" s="6">
        <f t="shared" si="41"/>
        <v>0</v>
      </c>
      <c r="X317">
        <v>17989.68</v>
      </c>
      <c r="Y317">
        <v>11511.24</v>
      </c>
      <c r="Z317">
        <f t="shared" si="42"/>
        <v>11511.240000000002</v>
      </c>
      <c r="AA317" s="6">
        <f t="shared" si="43"/>
        <v>0</v>
      </c>
      <c r="AB317">
        <f t="shared" si="44"/>
        <v>0.39019935649464493</v>
      </c>
      <c r="AC317" t="s">
        <v>111</v>
      </c>
      <c r="AD317" t="s">
        <v>103</v>
      </c>
      <c r="AE317" t="s">
        <v>2827</v>
      </c>
      <c r="AF317" t="s">
        <v>2814</v>
      </c>
    </row>
    <row r="318" spans="1:32">
      <c r="A318" t="s">
        <v>1052</v>
      </c>
      <c r="B318" s="3">
        <v>45338</v>
      </c>
      <c r="C318" t="str">
        <f t="shared" si="37"/>
        <v>February</v>
      </c>
      <c r="D318">
        <f t="shared" si="38"/>
        <v>2024</v>
      </c>
      <c r="E318" s="3">
        <v>45340</v>
      </c>
      <c r="F318">
        <f t="shared" si="36"/>
        <v>2</v>
      </c>
      <c r="G318" t="s">
        <v>1053</v>
      </c>
      <c r="H318" t="s">
        <v>23</v>
      </c>
      <c r="I318" t="s">
        <v>90</v>
      </c>
      <c r="J318" t="s">
        <v>25</v>
      </c>
      <c r="K318" t="s">
        <v>122</v>
      </c>
      <c r="L318" t="s">
        <v>123</v>
      </c>
      <c r="M318" t="s">
        <v>28</v>
      </c>
      <c r="N318" t="s">
        <v>91</v>
      </c>
      <c r="O318" t="s">
        <v>1054</v>
      </c>
      <c r="P318" t="s">
        <v>59</v>
      </c>
      <c r="Q318">
        <v>2</v>
      </c>
      <c r="R318">
        <v>1947.53</v>
      </c>
      <c r="S318" s="6">
        <v>0.2</v>
      </c>
      <c r="T318" s="6">
        <f t="shared" si="39"/>
        <v>0.2</v>
      </c>
      <c r="U318">
        <v>3116.05</v>
      </c>
      <c r="V318">
        <f t="shared" si="40"/>
        <v>3116.0480000000002</v>
      </c>
      <c r="W318" s="6">
        <f t="shared" si="41"/>
        <v>-1.9999999999527063E-3</v>
      </c>
      <c r="X318">
        <v>1956.63</v>
      </c>
      <c r="Y318">
        <v>1159.42</v>
      </c>
      <c r="Z318">
        <f t="shared" si="42"/>
        <v>1159.4180000000001</v>
      </c>
      <c r="AA318" s="6">
        <f t="shared" si="43"/>
        <v>-1.9999999999527063E-3</v>
      </c>
      <c r="AB318">
        <f t="shared" si="44"/>
        <v>0.37207963420332424</v>
      </c>
      <c r="AC318" t="s">
        <v>32</v>
      </c>
      <c r="AD318" t="s">
        <v>68</v>
      </c>
      <c r="AE318" t="s">
        <v>2827</v>
      </c>
      <c r="AF318" t="s">
        <v>2795</v>
      </c>
    </row>
    <row r="319" spans="1:32">
      <c r="A319" t="s">
        <v>1055</v>
      </c>
      <c r="B319" s="3">
        <v>45898</v>
      </c>
      <c r="C319" t="str">
        <f t="shared" si="37"/>
        <v>August</v>
      </c>
      <c r="D319">
        <f t="shared" si="38"/>
        <v>2025</v>
      </c>
      <c r="E319" s="3">
        <v>45756</v>
      </c>
      <c r="F319">
        <f t="shared" si="36"/>
        <v>-142</v>
      </c>
      <c r="G319" t="s">
        <v>1056</v>
      </c>
      <c r="H319" t="s">
        <v>79</v>
      </c>
      <c r="I319" t="s">
        <v>90</v>
      </c>
      <c r="J319" t="s">
        <v>54</v>
      </c>
      <c r="K319" t="s">
        <v>185</v>
      </c>
      <c r="L319" t="s">
        <v>186</v>
      </c>
      <c r="M319" t="s">
        <v>41</v>
      </c>
      <c r="N319" t="s">
        <v>42</v>
      </c>
      <c r="O319" t="s">
        <v>1057</v>
      </c>
      <c r="P319" t="s">
        <v>50</v>
      </c>
      <c r="Q319">
        <v>9</v>
      </c>
      <c r="R319">
        <v>2996.97</v>
      </c>
      <c r="S319" s="6">
        <v>0.15</v>
      </c>
      <c r="T319" s="6">
        <f t="shared" si="39"/>
        <v>0.15</v>
      </c>
      <c r="U319">
        <v>22926.82</v>
      </c>
      <c r="V319">
        <f t="shared" si="40"/>
        <v>22926.820499999998</v>
      </c>
      <c r="W319" s="6">
        <f t="shared" si="41"/>
        <v>4.99999998282874E-4</v>
      </c>
      <c r="X319">
        <v>14621.59</v>
      </c>
      <c r="Y319">
        <v>8305.23</v>
      </c>
      <c r="Z319">
        <f t="shared" si="42"/>
        <v>8305.2304999999978</v>
      </c>
      <c r="AA319" s="6">
        <f t="shared" si="43"/>
        <v>4.99999998282874E-4</v>
      </c>
      <c r="AB319">
        <f t="shared" si="44"/>
        <v>0.36224955396671765</v>
      </c>
      <c r="AC319" t="s">
        <v>32</v>
      </c>
      <c r="AD319" t="s">
        <v>33</v>
      </c>
      <c r="AE319" t="s">
        <v>2826</v>
      </c>
      <c r="AF319" s="10" t="s">
        <v>2790</v>
      </c>
    </row>
    <row r="320" spans="1:32">
      <c r="A320" t="s">
        <v>1058</v>
      </c>
      <c r="B320" s="3">
        <v>45407</v>
      </c>
      <c r="C320" t="str">
        <f t="shared" si="37"/>
        <v>April</v>
      </c>
      <c r="D320">
        <f t="shared" si="38"/>
        <v>2024</v>
      </c>
      <c r="E320" s="3">
        <v>45412</v>
      </c>
      <c r="F320">
        <f t="shared" si="36"/>
        <v>5</v>
      </c>
      <c r="G320" t="s">
        <v>1059</v>
      </c>
      <c r="H320" t="s">
        <v>36</v>
      </c>
      <c r="I320" t="s">
        <v>37</v>
      </c>
      <c r="J320" t="s">
        <v>54</v>
      </c>
      <c r="K320" t="s">
        <v>175</v>
      </c>
      <c r="L320" t="s">
        <v>176</v>
      </c>
      <c r="M320" t="s">
        <v>74</v>
      </c>
      <c r="N320" t="s">
        <v>171</v>
      </c>
      <c r="O320" t="s">
        <v>1060</v>
      </c>
      <c r="P320" t="s">
        <v>59</v>
      </c>
      <c r="Q320">
        <v>3</v>
      </c>
      <c r="R320">
        <v>4149.46</v>
      </c>
      <c r="S320" s="6">
        <v>0.1</v>
      </c>
      <c r="T320" s="6">
        <f t="shared" si="39"/>
        <v>0.1</v>
      </c>
      <c r="U320">
        <v>11203.54</v>
      </c>
      <c r="V320">
        <f t="shared" si="40"/>
        <v>11203.542000000001</v>
      </c>
      <c r="W320" s="6">
        <f t="shared" si="41"/>
        <v>2.0000000004074536E-3</v>
      </c>
      <c r="X320">
        <v>8452.93</v>
      </c>
      <c r="Y320">
        <v>2750.61</v>
      </c>
      <c r="Z320">
        <f t="shared" si="42"/>
        <v>2750.612000000001</v>
      </c>
      <c r="AA320" s="6">
        <f t="shared" si="43"/>
        <v>2.000000000862201E-3</v>
      </c>
      <c r="AB320">
        <f t="shared" si="44"/>
        <v>0.24551271374713468</v>
      </c>
      <c r="AC320" t="s">
        <v>32</v>
      </c>
      <c r="AD320" t="s">
        <v>33</v>
      </c>
      <c r="AE320" t="s">
        <v>2828</v>
      </c>
    </row>
    <row r="321" spans="1:32">
      <c r="A321" t="s">
        <v>1061</v>
      </c>
      <c r="B321" s="3">
        <v>45525</v>
      </c>
      <c r="C321" t="str">
        <f t="shared" si="37"/>
        <v>August</v>
      </c>
      <c r="D321">
        <f t="shared" si="38"/>
        <v>2024</v>
      </c>
      <c r="E321" s="3">
        <v>45529</v>
      </c>
      <c r="F321">
        <f t="shared" si="36"/>
        <v>4</v>
      </c>
      <c r="G321" t="s">
        <v>1062</v>
      </c>
      <c r="H321" t="s">
        <v>162</v>
      </c>
      <c r="I321" t="s">
        <v>24</v>
      </c>
      <c r="J321" t="s">
        <v>63</v>
      </c>
      <c r="K321" t="s">
        <v>180</v>
      </c>
      <c r="L321" t="s">
        <v>181</v>
      </c>
      <c r="M321" t="s">
        <v>28</v>
      </c>
      <c r="N321" t="s">
        <v>153</v>
      </c>
      <c r="O321" t="s">
        <v>1063</v>
      </c>
      <c r="P321" t="s">
        <v>50</v>
      </c>
      <c r="Q321">
        <v>1</v>
      </c>
      <c r="R321">
        <v>270.27999999999997</v>
      </c>
      <c r="S321" s="6">
        <v>0</v>
      </c>
      <c r="T321" s="6">
        <f t="shared" si="39"/>
        <v>0</v>
      </c>
      <c r="U321">
        <v>270.27999999999997</v>
      </c>
      <c r="V321">
        <f t="shared" si="40"/>
        <v>270.27999999999997</v>
      </c>
      <c r="W321" s="6">
        <f t="shared" si="41"/>
        <v>0</v>
      </c>
      <c r="X321">
        <v>156.34</v>
      </c>
      <c r="Y321">
        <v>113.94</v>
      </c>
      <c r="Z321">
        <f t="shared" si="42"/>
        <v>113.93999999999997</v>
      </c>
      <c r="AA321" s="6">
        <f t="shared" si="43"/>
        <v>0</v>
      </c>
      <c r="AB321">
        <f t="shared" si="44"/>
        <v>0.42156282373834536</v>
      </c>
      <c r="AC321" t="s">
        <v>32</v>
      </c>
      <c r="AD321" t="s">
        <v>33</v>
      </c>
      <c r="AE321" t="s">
        <v>2828</v>
      </c>
    </row>
    <row r="322" spans="1:32">
      <c r="A322" t="s">
        <v>1064</v>
      </c>
      <c r="B322" s="3">
        <v>45630</v>
      </c>
      <c r="C322" t="str">
        <f t="shared" si="37"/>
        <v>December</v>
      </c>
      <c r="D322">
        <f t="shared" si="38"/>
        <v>2024</v>
      </c>
      <c r="E322" s="3">
        <v>45632</v>
      </c>
      <c r="F322">
        <f t="shared" ref="F322:F385" si="45">E322-B322</f>
        <v>2</v>
      </c>
      <c r="G322" t="s">
        <v>1065</v>
      </c>
      <c r="H322" t="s">
        <v>128</v>
      </c>
      <c r="I322" t="s">
        <v>95</v>
      </c>
      <c r="J322" t="s">
        <v>38</v>
      </c>
      <c r="K322" t="s">
        <v>99</v>
      </c>
      <c r="L322" t="s">
        <v>100</v>
      </c>
      <c r="M322" t="s">
        <v>28</v>
      </c>
      <c r="N322" t="s">
        <v>48</v>
      </c>
      <c r="O322" t="s">
        <v>1066</v>
      </c>
      <c r="P322" t="s">
        <v>31</v>
      </c>
      <c r="Q322">
        <v>3</v>
      </c>
      <c r="R322">
        <v>876.14</v>
      </c>
      <c r="S322" s="6">
        <v>0.7</v>
      </c>
      <c r="T322" s="6">
        <f t="shared" si="39"/>
        <v>0.7</v>
      </c>
      <c r="U322">
        <v>2628.42</v>
      </c>
      <c r="V322">
        <f t="shared" si="40"/>
        <v>788.52600000000018</v>
      </c>
      <c r="W322" s="6">
        <f t="shared" si="41"/>
        <v>-1839.8939999999998</v>
      </c>
      <c r="X322">
        <v>1541.54</v>
      </c>
      <c r="Y322">
        <v>1086.8800000000001</v>
      </c>
      <c r="Z322">
        <f t="shared" si="42"/>
        <v>-753.01399999999978</v>
      </c>
      <c r="AA322" s="6">
        <f t="shared" si="43"/>
        <v>-1839.8939999999998</v>
      </c>
      <c r="AB322">
        <f t="shared" si="44"/>
        <v>-0.95496407220560842</v>
      </c>
      <c r="AC322" t="s">
        <v>111</v>
      </c>
      <c r="AD322" t="s">
        <v>103</v>
      </c>
      <c r="AE322" t="s">
        <v>2826</v>
      </c>
      <c r="AF322" s="10" t="s">
        <v>2819</v>
      </c>
    </row>
    <row r="323" spans="1:32">
      <c r="A323" t="s">
        <v>1067</v>
      </c>
      <c r="B323" s="3">
        <v>45466</v>
      </c>
      <c r="C323" t="str">
        <f t="shared" ref="C323:C386" si="46">TEXT(B323, "mmmm")</f>
        <v>June</v>
      </c>
      <c r="D323">
        <f t="shared" ref="D323:D386" si="47">YEAR(B323)</f>
        <v>2024</v>
      </c>
      <c r="E323" s="3">
        <v>45473</v>
      </c>
      <c r="F323">
        <f t="shared" si="45"/>
        <v>7</v>
      </c>
      <c r="G323" t="s">
        <v>1068</v>
      </c>
      <c r="H323" t="s">
        <v>79</v>
      </c>
      <c r="I323" t="s">
        <v>37</v>
      </c>
      <c r="J323" t="s">
        <v>63</v>
      </c>
      <c r="K323" t="s">
        <v>190</v>
      </c>
      <c r="L323" t="s">
        <v>191</v>
      </c>
      <c r="M323" t="s">
        <v>74</v>
      </c>
      <c r="N323" t="s">
        <v>75</v>
      </c>
      <c r="O323" t="s">
        <v>1069</v>
      </c>
      <c r="P323" t="s">
        <v>44</v>
      </c>
      <c r="Q323">
        <v>4</v>
      </c>
      <c r="R323">
        <v>674.82</v>
      </c>
      <c r="S323" s="6">
        <v>0</v>
      </c>
      <c r="T323" s="6">
        <f t="shared" ref="T323:T386" si="48">ABS(S323)</f>
        <v>0</v>
      </c>
      <c r="U323">
        <v>2699.28</v>
      </c>
      <c r="V323">
        <f t="shared" ref="V323:V386" si="49">Q323*R323*(1-T323)</f>
        <v>2699.28</v>
      </c>
      <c r="W323" s="6">
        <f t="shared" ref="W323:W386" si="50">V323-U323</f>
        <v>0</v>
      </c>
      <c r="X323">
        <v>1759.76</v>
      </c>
      <c r="Y323">
        <v>939.52</v>
      </c>
      <c r="Z323">
        <f t="shared" ref="Z323:Z386" si="51">V323-X323</f>
        <v>939.52000000000021</v>
      </c>
      <c r="AA323" s="6">
        <f t="shared" ref="AA323:AA386" si="52">Z323-Y323</f>
        <v>0</v>
      </c>
      <c r="AB323">
        <f t="shared" ref="AB323:AB386" si="53">Z323/V323</f>
        <v>0.34806318722029583</v>
      </c>
      <c r="AC323" t="s">
        <v>155</v>
      </c>
      <c r="AD323" t="s">
        <v>68</v>
      </c>
      <c r="AE323" t="s">
        <v>2827</v>
      </c>
      <c r="AF323" s="10" t="s">
        <v>2796</v>
      </c>
    </row>
    <row r="324" spans="1:32">
      <c r="A324" t="s">
        <v>1070</v>
      </c>
      <c r="B324" s="3">
        <v>45637</v>
      </c>
      <c r="C324" t="str">
        <f t="shared" si="46"/>
        <v>December</v>
      </c>
      <c r="D324">
        <f t="shared" si="47"/>
        <v>2024</v>
      </c>
      <c r="E324" s="3">
        <v>45637</v>
      </c>
      <c r="F324">
        <f t="shared" si="45"/>
        <v>0</v>
      </c>
      <c r="G324" t="s">
        <v>1071</v>
      </c>
      <c r="H324" t="s">
        <v>47</v>
      </c>
      <c r="I324" t="s">
        <v>24</v>
      </c>
      <c r="J324" t="s">
        <v>25</v>
      </c>
      <c r="K324" t="s">
        <v>136</v>
      </c>
      <c r="L324" t="s">
        <v>137</v>
      </c>
      <c r="M324" t="s">
        <v>74</v>
      </c>
      <c r="N324" t="s">
        <v>171</v>
      </c>
      <c r="O324" t="s">
        <v>1072</v>
      </c>
      <c r="P324" t="s">
        <v>31</v>
      </c>
      <c r="Q324">
        <v>6</v>
      </c>
      <c r="R324">
        <v>1369.48</v>
      </c>
      <c r="S324" s="6">
        <v>0.15</v>
      </c>
      <c r="T324" s="6">
        <f t="shared" si="48"/>
        <v>0.15</v>
      </c>
      <c r="U324">
        <v>6984.35</v>
      </c>
      <c r="V324">
        <f t="shared" si="49"/>
        <v>6984.3480000000009</v>
      </c>
      <c r="W324" s="6">
        <f t="shared" si="50"/>
        <v>-1.9999999994979589E-3</v>
      </c>
      <c r="X324">
        <v>4023.63</v>
      </c>
      <c r="Y324">
        <v>2960.72</v>
      </c>
      <c r="Z324">
        <f t="shared" si="51"/>
        <v>2960.7180000000008</v>
      </c>
      <c r="AA324" s="6">
        <f t="shared" si="52"/>
        <v>-1.9999999990432116E-3</v>
      </c>
      <c r="AB324">
        <f t="shared" si="53"/>
        <v>0.42390757161584736</v>
      </c>
      <c r="AC324" t="s">
        <v>32</v>
      </c>
      <c r="AD324" t="s">
        <v>33</v>
      </c>
      <c r="AE324" t="s">
        <v>2828</v>
      </c>
    </row>
    <row r="325" spans="1:32">
      <c r="A325" t="s">
        <v>1073</v>
      </c>
      <c r="B325" s="3">
        <v>45347</v>
      </c>
      <c r="C325" t="str">
        <f t="shared" si="46"/>
        <v>February</v>
      </c>
      <c r="D325">
        <f t="shared" si="47"/>
        <v>2024</v>
      </c>
      <c r="E325" s="3">
        <v>45351</v>
      </c>
      <c r="F325">
        <f t="shared" si="45"/>
        <v>4</v>
      </c>
      <c r="G325" t="s">
        <v>1074</v>
      </c>
      <c r="H325" t="s">
        <v>47</v>
      </c>
      <c r="I325" t="s">
        <v>37</v>
      </c>
      <c r="J325" t="s">
        <v>63</v>
      </c>
      <c r="K325" t="s">
        <v>190</v>
      </c>
      <c r="L325" t="s">
        <v>191</v>
      </c>
      <c r="M325" t="s">
        <v>41</v>
      </c>
      <c r="N325" t="s">
        <v>57</v>
      </c>
      <c r="O325" t="s">
        <v>150</v>
      </c>
      <c r="P325" t="s">
        <v>59</v>
      </c>
      <c r="Q325">
        <v>9</v>
      </c>
      <c r="R325">
        <v>1331.46</v>
      </c>
      <c r="S325" s="6">
        <v>0.15</v>
      </c>
      <c r="T325" s="6">
        <f t="shared" si="48"/>
        <v>0.15</v>
      </c>
      <c r="U325">
        <v>10185.67</v>
      </c>
      <c r="V325">
        <f t="shared" si="49"/>
        <v>10185.669</v>
      </c>
      <c r="W325" s="6">
        <f t="shared" si="50"/>
        <v>-1.0000000002037268E-3</v>
      </c>
      <c r="X325">
        <v>6479.31</v>
      </c>
      <c r="Y325">
        <v>3706.36</v>
      </c>
      <c r="Z325">
        <f t="shared" si="51"/>
        <v>3706.3589999999995</v>
      </c>
      <c r="AA325" s="6">
        <f t="shared" si="52"/>
        <v>-1.0000000006584742E-3</v>
      </c>
      <c r="AB325">
        <f t="shared" si="53"/>
        <v>0.36387978050337189</v>
      </c>
      <c r="AC325" t="s">
        <v>32</v>
      </c>
      <c r="AD325" t="s">
        <v>33</v>
      </c>
      <c r="AE325" t="s">
        <v>2828</v>
      </c>
    </row>
    <row r="326" spans="1:32">
      <c r="A326" t="s">
        <v>1075</v>
      </c>
      <c r="B326" s="3">
        <v>45869</v>
      </c>
      <c r="C326" t="str">
        <f t="shared" si="46"/>
        <v>July</v>
      </c>
      <c r="D326">
        <f t="shared" si="47"/>
        <v>2025</v>
      </c>
      <c r="E326" s="3">
        <v>45696</v>
      </c>
      <c r="F326">
        <f t="shared" si="45"/>
        <v>-173</v>
      </c>
      <c r="G326" t="s">
        <v>1076</v>
      </c>
      <c r="H326" t="s">
        <v>141</v>
      </c>
      <c r="I326" t="s">
        <v>95</v>
      </c>
      <c r="J326" t="s">
        <v>54</v>
      </c>
      <c r="K326" t="s">
        <v>84</v>
      </c>
      <c r="L326" t="s">
        <v>85</v>
      </c>
      <c r="M326" t="s">
        <v>28</v>
      </c>
      <c r="N326" t="s">
        <v>91</v>
      </c>
      <c r="O326" t="s">
        <v>1077</v>
      </c>
      <c r="P326" t="s">
        <v>44</v>
      </c>
      <c r="Q326">
        <v>1</v>
      </c>
      <c r="R326">
        <v>1947.88</v>
      </c>
      <c r="S326" s="6">
        <v>0.15</v>
      </c>
      <c r="T326" s="6">
        <f t="shared" si="48"/>
        <v>0.15</v>
      </c>
      <c r="U326">
        <v>1655.7</v>
      </c>
      <c r="V326">
        <f t="shared" si="49"/>
        <v>1655.6980000000001</v>
      </c>
      <c r="W326" s="6">
        <f t="shared" si="50"/>
        <v>-1.9999999999527063E-3</v>
      </c>
      <c r="X326">
        <v>1354.8</v>
      </c>
      <c r="Y326">
        <v>300.89999999999998</v>
      </c>
      <c r="Z326">
        <f t="shared" si="51"/>
        <v>300.89800000000014</v>
      </c>
      <c r="AA326" s="6">
        <f t="shared" si="52"/>
        <v>-1.9999999998390194E-3</v>
      </c>
      <c r="AB326">
        <f t="shared" si="53"/>
        <v>0.1817348332848141</v>
      </c>
      <c r="AC326" t="s">
        <v>32</v>
      </c>
      <c r="AD326" t="s">
        <v>103</v>
      </c>
      <c r="AE326" t="s">
        <v>2826</v>
      </c>
      <c r="AF326" s="10" t="s">
        <v>2818</v>
      </c>
    </row>
    <row r="327" spans="1:32">
      <c r="A327" t="s">
        <v>1078</v>
      </c>
      <c r="B327" s="3">
        <v>45916</v>
      </c>
      <c r="C327" t="str">
        <f t="shared" si="46"/>
        <v>September</v>
      </c>
      <c r="D327">
        <f t="shared" si="47"/>
        <v>2025</v>
      </c>
      <c r="E327" s="3">
        <v>45922</v>
      </c>
      <c r="F327">
        <f t="shared" si="45"/>
        <v>6</v>
      </c>
      <c r="G327" t="s">
        <v>1079</v>
      </c>
      <c r="H327" t="s">
        <v>132</v>
      </c>
      <c r="I327" t="s">
        <v>95</v>
      </c>
      <c r="J327" t="s">
        <v>38</v>
      </c>
      <c r="K327" t="s">
        <v>99</v>
      </c>
      <c r="L327" t="s">
        <v>100</v>
      </c>
      <c r="M327" t="s">
        <v>74</v>
      </c>
      <c r="N327" t="s">
        <v>80</v>
      </c>
      <c r="O327" t="s">
        <v>1080</v>
      </c>
      <c r="P327" t="s">
        <v>31</v>
      </c>
      <c r="Q327">
        <v>5</v>
      </c>
      <c r="R327">
        <v>3671.2</v>
      </c>
      <c r="S327" s="6">
        <v>0.15</v>
      </c>
      <c r="T327" s="6">
        <f t="shared" si="48"/>
        <v>0.15</v>
      </c>
      <c r="U327">
        <v>15602.6</v>
      </c>
      <c r="V327">
        <f t="shared" si="49"/>
        <v>15602.6</v>
      </c>
      <c r="W327" s="6">
        <f t="shared" si="50"/>
        <v>0</v>
      </c>
      <c r="X327">
        <v>11908.52</v>
      </c>
      <c r="Y327">
        <v>3694.08</v>
      </c>
      <c r="Z327">
        <f t="shared" si="51"/>
        <v>3694.08</v>
      </c>
      <c r="AA327" s="6">
        <f t="shared" si="52"/>
        <v>0</v>
      </c>
      <c r="AB327">
        <f t="shared" si="53"/>
        <v>0.236760539910015</v>
      </c>
      <c r="AC327" t="s">
        <v>32</v>
      </c>
      <c r="AD327" t="s">
        <v>33</v>
      </c>
      <c r="AE327" t="s">
        <v>2828</v>
      </c>
    </row>
    <row r="328" spans="1:32">
      <c r="A328" t="s">
        <v>1081</v>
      </c>
      <c r="B328" s="3">
        <v>45860</v>
      </c>
      <c r="C328" t="str">
        <f t="shared" si="46"/>
        <v>July</v>
      </c>
      <c r="D328">
        <f t="shared" si="47"/>
        <v>2025</v>
      </c>
      <c r="E328" s="3">
        <v>45860</v>
      </c>
      <c r="F328">
        <f t="shared" si="45"/>
        <v>0</v>
      </c>
      <c r="G328" t="s">
        <v>1082</v>
      </c>
      <c r="H328" t="s">
        <v>132</v>
      </c>
      <c r="I328" t="s">
        <v>90</v>
      </c>
      <c r="J328" t="s">
        <v>38</v>
      </c>
      <c r="K328" t="s">
        <v>228</v>
      </c>
      <c r="L328" t="s">
        <v>229</v>
      </c>
      <c r="M328" t="s">
        <v>41</v>
      </c>
      <c r="N328" t="s">
        <v>57</v>
      </c>
      <c r="O328" t="s">
        <v>1083</v>
      </c>
      <c r="P328" t="s">
        <v>44</v>
      </c>
      <c r="Q328">
        <v>5</v>
      </c>
      <c r="R328">
        <v>3187.05</v>
      </c>
      <c r="S328" s="6">
        <v>0.05</v>
      </c>
      <c r="T328" s="6">
        <f t="shared" si="48"/>
        <v>0.05</v>
      </c>
      <c r="U328">
        <v>15138.49</v>
      </c>
      <c r="V328">
        <f t="shared" si="49"/>
        <v>15138.487499999999</v>
      </c>
      <c r="W328" s="6">
        <f t="shared" si="50"/>
        <v>-2.500000000509317E-3</v>
      </c>
      <c r="X328">
        <v>11235.72</v>
      </c>
      <c r="Y328">
        <v>3902.77</v>
      </c>
      <c r="Z328">
        <f t="shared" si="51"/>
        <v>3902.7674999999999</v>
      </c>
      <c r="AA328" s="6">
        <f t="shared" si="52"/>
        <v>-2.5000000000545697E-3</v>
      </c>
      <c r="AB328">
        <f t="shared" si="53"/>
        <v>0.25780432160082045</v>
      </c>
      <c r="AC328" t="s">
        <v>32</v>
      </c>
      <c r="AD328" t="s">
        <v>33</v>
      </c>
      <c r="AE328" t="s">
        <v>2828</v>
      </c>
    </row>
    <row r="329" spans="1:32">
      <c r="A329" t="s">
        <v>1084</v>
      </c>
      <c r="B329" s="3">
        <v>45497</v>
      </c>
      <c r="C329" t="str">
        <f t="shared" si="46"/>
        <v>July</v>
      </c>
      <c r="D329">
        <f t="shared" si="47"/>
        <v>2024</v>
      </c>
      <c r="E329" s="3">
        <v>45500</v>
      </c>
      <c r="F329">
        <f t="shared" si="45"/>
        <v>3</v>
      </c>
      <c r="G329" t="s">
        <v>1085</v>
      </c>
      <c r="H329" t="s">
        <v>47</v>
      </c>
      <c r="I329" t="s">
        <v>24</v>
      </c>
      <c r="J329" t="s">
        <v>63</v>
      </c>
      <c r="K329" t="s">
        <v>26</v>
      </c>
      <c r="L329" t="s">
        <v>109</v>
      </c>
      <c r="M329" t="s">
        <v>74</v>
      </c>
      <c r="N329" t="s">
        <v>75</v>
      </c>
      <c r="O329" t="s">
        <v>1086</v>
      </c>
      <c r="P329" t="s">
        <v>31</v>
      </c>
      <c r="Q329">
        <v>3</v>
      </c>
      <c r="R329">
        <v>1834.55</v>
      </c>
      <c r="S329" s="6">
        <v>0.2</v>
      </c>
      <c r="T329" s="6">
        <f t="shared" si="48"/>
        <v>0.2</v>
      </c>
      <c r="U329">
        <v>4402.92</v>
      </c>
      <c r="V329">
        <f t="shared" si="49"/>
        <v>4402.92</v>
      </c>
      <c r="W329" s="6">
        <f t="shared" si="50"/>
        <v>0</v>
      </c>
      <c r="X329">
        <v>2993.94</v>
      </c>
      <c r="Y329">
        <v>1408.98</v>
      </c>
      <c r="Z329">
        <f t="shared" si="51"/>
        <v>1408.98</v>
      </c>
      <c r="AA329" s="6">
        <f t="shared" si="52"/>
        <v>0</v>
      </c>
      <c r="AB329">
        <f t="shared" si="53"/>
        <v>0.32001035676323897</v>
      </c>
      <c r="AC329" t="s">
        <v>111</v>
      </c>
      <c r="AD329" t="s">
        <v>68</v>
      </c>
      <c r="AE329" t="s">
        <v>2827</v>
      </c>
      <c r="AF329" t="s">
        <v>2804</v>
      </c>
    </row>
    <row r="330" spans="1:32">
      <c r="A330" t="s">
        <v>1087</v>
      </c>
      <c r="B330" s="3">
        <v>45806</v>
      </c>
      <c r="C330" t="str">
        <f t="shared" si="46"/>
        <v>May</v>
      </c>
      <c r="D330">
        <f t="shared" si="47"/>
        <v>2025</v>
      </c>
      <c r="E330" s="3">
        <v>45753</v>
      </c>
      <c r="F330">
        <f t="shared" si="45"/>
        <v>-53</v>
      </c>
      <c r="G330" t="s">
        <v>1088</v>
      </c>
      <c r="H330" t="s">
        <v>162</v>
      </c>
      <c r="I330" t="s">
        <v>24</v>
      </c>
      <c r="J330" t="s">
        <v>63</v>
      </c>
      <c r="K330" t="s">
        <v>64</v>
      </c>
      <c r="L330" t="s">
        <v>65</v>
      </c>
      <c r="M330" t="s">
        <v>28</v>
      </c>
      <c r="N330" t="s">
        <v>124</v>
      </c>
      <c r="O330" t="s">
        <v>1089</v>
      </c>
      <c r="P330" t="s">
        <v>50</v>
      </c>
      <c r="Q330">
        <v>6</v>
      </c>
      <c r="R330">
        <v>3100.68</v>
      </c>
      <c r="S330" s="6">
        <v>0</v>
      </c>
      <c r="T330" s="6">
        <f t="shared" si="48"/>
        <v>0</v>
      </c>
      <c r="U330">
        <v>18604.080000000002</v>
      </c>
      <c r="V330">
        <f t="shared" si="49"/>
        <v>18604.079999999998</v>
      </c>
      <c r="W330" s="6">
        <f t="shared" si="50"/>
        <v>0</v>
      </c>
      <c r="X330">
        <v>15834.3</v>
      </c>
      <c r="Y330">
        <v>2769.78</v>
      </c>
      <c r="Z330">
        <f t="shared" si="51"/>
        <v>2769.7799999999988</v>
      </c>
      <c r="AA330" s="6">
        <f t="shared" si="52"/>
        <v>0</v>
      </c>
      <c r="AB330">
        <f t="shared" si="53"/>
        <v>0.1488802456235406</v>
      </c>
      <c r="AC330" t="s">
        <v>32</v>
      </c>
      <c r="AD330" t="s">
        <v>33</v>
      </c>
      <c r="AE330" t="s">
        <v>2826</v>
      </c>
      <c r="AF330" s="10" t="s">
        <v>2790</v>
      </c>
    </row>
    <row r="331" spans="1:32">
      <c r="A331" t="s">
        <v>1090</v>
      </c>
      <c r="B331" s="3">
        <v>45996</v>
      </c>
      <c r="C331" t="str">
        <f t="shared" si="46"/>
        <v>December</v>
      </c>
      <c r="D331">
        <f t="shared" si="47"/>
        <v>2025</v>
      </c>
      <c r="E331" s="3">
        <v>45795</v>
      </c>
      <c r="F331">
        <f t="shared" si="45"/>
        <v>-201</v>
      </c>
      <c r="G331" t="s">
        <v>1091</v>
      </c>
      <c r="H331" t="s">
        <v>79</v>
      </c>
      <c r="I331" t="s">
        <v>37</v>
      </c>
      <c r="J331" t="s">
        <v>63</v>
      </c>
      <c r="K331" t="s">
        <v>64</v>
      </c>
      <c r="L331" t="s">
        <v>65</v>
      </c>
      <c r="M331" t="s">
        <v>28</v>
      </c>
      <c r="N331" t="s">
        <v>124</v>
      </c>
      <c r="O331" t="s">
        <v>1092</v>
      </c>
      <c r="P331" t="s">
        <v>59</v>
      </c>
      <c r="Q331">
        <v>4</v>
      </c>
      <c r="R331">
        <v>4053.03</v>
      </c>
      <c r="S331" s="6">
        <v>0.05</v>
      </c>
      <c r="T331" s="6">
        <f t="shared" si="48"/>
        <v>0.05</v>
      </c>
      <c r="U331">
        <v>15401.51</v>
      </c>
      <c r="V331">
        <f t="shared" si="49"/>
        <v>15401.513999999999</v>
      </c>
      <c r="W331" s="6">
        <f t="shared" si="50"/>
        <v>3.9999999989959178E-3</v>
      </c>
      <c r="X331">
        <v>8650.42</v>
      </c>
      <c r="Y331">
        <v>6751.09</v>
      </c>
      <c r="Z331">
        <f t="shared" si="51"/>
        <v>6751.0939999999991</v>
      </c>
      <c r="AA331" s="6">
        <f t="shared" si="52"/>
        <v>3.9999999989959178E-3</v>
      </c>
      <c r="AB331">
        <f t="shared" si="53"/>
        <v>0.43833963336331738</v>
      </c>
      <c r="AC331" t="s">
        <v>32</v>
      </c>
      <c r="AD331" t="s">
        <v>33</v>
      </c>
      <c r="AE331" t="s">
        <v>2826</v>
      </c>
      <c r="AF331" s="10" t="s">
        <v>2790</v>
      </c>
    </row>
    <row r="332" spans="1:32">
      <c r="A332" t="s">
        <v>1093</v>
      </c>
      <c r="B332" s="3">
        <v>45428</v>
      </c>
      <c r="C332" t="str">
        <f t="shared" si="46"/>
        <v>May</v>
      </c>
      <c r="D332">
        <f t="shared" si="47"/>
        <v>2024</v>
      </c>
      <c r="E332" s="3">
        <v>45436</v>
      </c>
      <c r="F332">
        <f t="shared" si="45"/>
        <v>8</v>
      </c>
      <c r="G332" t="s">
        <v>1094</v>
      </c>
      <c r="H332" t="s">
        <v>53</v>
      </c>
      <c r="I332" t="s">
        <v>95</v>
      </c>
      <c r="J332" t="s">
        <v>25</v>
      </c>
      <c r="K332" t="s">
        <v>122</v>
      </c>
      <c r="L332" t="s">
        <v>123</v>
      </c>
      <c r="M332" t="s">
        <v>74</v>
      </c>
      <c r="N332" t="s">
        <v>75</v>
      </c>
      <c r="O332" t="s">
        <v>1095</v>
      </c>
      <c r="P332" t="s">
        <v>44</v>
      </c>
      <c r="Q332">
        <v>1</v>
      </c>
      <c r="R332">
        <v>783.09</v>
      </c>
      <c r="S332" s="6">
        <v>0</v>
      </c>
      <c r="T332" s="6">
        <f t="shared" si="48"/>
        <v>0</v>
      </c>
      <c r="U332">
        <v>783.09</v>
      </c>
      <c r="V332">
        <f t="shared" si="49"/>
        <v>783.09</v>
      </c>
      <c r="W332" s="6">
        <f t="shared" si="50"/>
        <v>0</v>
      </c>
      <c r="X332">
        <v>503.89</v>
      </c>
      <c r="Y332">
        <v>279.2</v>
      </c>
      <c r="Z332">
        <f t="shared" si="51"/>
        <v>279.20000000000005</v>
      </c>
      <c r="AA332" s="6">
        <f t="shared" si="52"/>
        <v>0</v>
      </c>
      <c r="AB332">
        <f t="shared" si="53"/>
        <v>0.3565362857398256</v>
      </c>
      <c r="AC332" t="s">
        <v>155</v>
      </c>
      <c r="AD332" t="s">
        <v>68</v>
      </c>
      <c r="AE332" t="s">
        <v>2827</v>
      </c>
      <c r="AF332" s="10" t="s">
        <v>2796</v>
      </c>
    </row>
    <row r="333" spans="1:32">
      <c r="A333" t="s">
        <v>1096</v>
      </c>
      <c r="B333" s="3">
        <v>45394</v>
      </c>
      <c r="C333" t="str">
        <f t="shared" si="46"/>
        <v>April</v>
      </c>
      <c r="D333">
        <f t="shared" si="47"/>
        <v>2024</v>
      </c>
      <c r="E333" s="3">
        <v>45455</v>
      </c>
      <c r="F333">
        <f t="shared" si="45"/>
        <v>61</v>
      </c>
      <c r="G333" t="s">
        <v>1097</v>
      </c>
      <c r="H333" t="s">
        <v>132</v>
      </c>
      <c r="I333" t="s">
        <v>95</v>
      </c>
      <c r="J333" t="s">
        <v>38</v>
      </c>
      <c r="K333" t="s">
        <v>39</v>
      </c>
      <c r="L333" t="s">
        <v>40</v>
      </c>
      <c r="M333" t="s">
        <v>28</v>
      </c>
      <c r="N333" t="s">
        <v>153</v>
      </c>
      <c r="O333" t="s">
        <v>1098</v>
      </c>
      <c r="P333" t="s">
        <v>31</v>
      </c>
      <c r="Q333">
        <v>4</v>
      </c>
      <c r="R333">
        <v>2685.66</v>
      </c>
      <c r="S333" s="6">
        <v>0</v>
      </c>
      <c r="T333" s="6">
        <f t="shared" si="48"/>
        <v>0</v>
      </c>
      <c r="U333">
        <v>10742.64</v>
      </c>
      <c r="V333">
        <f t="shared" si="49"/>
        <v>10742.64</v>
      </c>
      <c r="W333" s="6">
        <f t="shared" si="50"/>
        <v>0</v>
      </c>
      <c r="X333">
        <v>6477.37</v>
      </c>
      <c r="Y333">
        <v>4265.2700000000004</v>
      </c>
      <c r="Z333">
        <f t="shared" si="51"/>
        <v>4265.2699999999995</v>
      </c>
      <c r="AA333" s="6">
        <f t="shared" si="52"/>
        <v>0</v>
      </c>
      <c r="AB333">
        <f t="shared" si="53"/>
        <v>0.39704113700170535</v>
      </c>
      <c r="AC333" t="s">
        <v>32</v>
      </c>
      <c r="AD333" t="s">
        <v>103</v>
      </c>
      <c r="AE333" t="s">
        <v>2826</v>
      </c>
      <c r="AF333" s="10" t="s">
        <v>2822</v>
      </c>
    </row>
    <row r="334" spans="1:32">
      <c r="A334" t="s">
        <v>1099</v>
      </c>
      <c r="B334" s="3">
        <v>45804</v>
      </c>
      <c r="C334" t="str">
        <f t="shared" si="46"/>
        <v>May</v>
      </c>
      <c r="D334">
        <f t="shared" si="47"/>
        <v>2025</v>
      </c>
      <c r="E334" s="3">
        <v>45805</v>
      </c>
      <c r="F334">
        <f t="shared" si="45"/>
        <v>1</v>
      </c>
      <c r="G334" t="s">
        <v>1100</v>
      </c>
      <c r="H334" t="s">
        <v>128</v>
      </c>
      <c r="I334" t="s">
        <v>24</v>
      </c>
      <c r="J334" t="s">
        <v>54</v>
      </c>
      <c r="K334" t="s">
        <v>84</v>
      </c>
      <c r="L334" t="s">
        <v>85</v>
      </c>
      <c r="M334" t="s">
        <v>74</v>
      </c>
      <c r="N334" t="s">
        <v>274</v>
      </c>
      <c r="O334" t="s">
        <v>1101</v>
      </c>
      <c r="P334" t="s">
        <v>31</v>
      </c>
      <c r="Q334">
        <v>2</v>
      </c>
      <c r="R334">
        <v>3911.96</v>
      </c>
      <c r="S334" s="6">
        <v>0</v>
      </c>
      <c r="T334" s="6">
        <f t="shared" si="48"/>
        <v>0</v>
      </c>
      <c r="U334">
        <v>7823.92</v>
      </c>
      <c r="V334">
        <f t="shared" si="49"/>
        <v>7823.92</v>
      </c>
      <c r="W334" s="6">
        <f t="shared" si="50"/>
        <v>0</v>
      </c>
      <c r="X334">
        <v>6034.63</v>
      </c>
      <c r="Y334">
        <v>1789.29</v>
      </c>
      <c r="Z334">
        <f t="shared" si="51"/>
        <v>1789.29</v>
      </c>
      <c r="AA334" s="6">
        <f t="shared" si="52"/>
        <v>0</v>
      </c>
      <c r="AB334">
        <f t="shared" si="53"/>
        <v>0.22869482305545047</v>
      </c>
      <c r="AC334" t="s">
        <v>32</v>
      </c>
      <c r="AD334" t="s">
        <v>33</v>
      </c>
      <c r="AE334" t="s">
        <v>2828</v>
      </c>
    </row>
    <row r="335" spans="1:32">
      <c r="A335" t="s">
        <v>1102</v>
      </c>
      <c r="B335" s="3">
        <v>45830</v>
      </c>
      <c r="C335" t="str">
        <f t="shared" si="46"/>
        <v>June</v>
      </c>
      <c r="D335">
        <f t="shared" si="47"/>
        <v>2025</v>
      </c>
      <c r="E335" s="3">
        <v>45835</v>
      </c>
      <c r="F335">
        <f t="shared" si="45"/>
        <v>5</v>
      </c>
      <c r="G335" t="s">
        <v>1103</v>
      </c>
      <c r="H335" t="s">
        <v>141</v>
      </c>
      <c r="I335" t="s">
        <v>95</v>
      </c>
      <c r="J335" t="s">
        <v>2781</v>
      </c>
      <c r="K335" t="s">
        <v>350</v>
      </c>
      <c r="L335" t="s">
        <v>351</v>
      </c>
      <c r="M335" t="s">
        <v>74</v>
      </c>
      <c r="N335" t="s">
        <v>171</v>
      </c>
      <c r="O335" t="s">
        <v>1104</v>
      </c>
      <c r="P335" t="s">
        <v>50</v>
      </c>
      <c r="Q335">
        <v>2</v>
      </c>
      <c r="R335">
        <v>1468.05</v>
      </c>
      <c r="S335" s="6">
        <v>0</v>
      </c>
      <c r="T335" s="6">
        <f t="shared" si="48"/>
        <v>0</v>
      </c>
      <c r="U335">
        <v>2936.1</v>
      </c>
      <c r="V335">
        <f t="shared" si="49"/>
        <v>2936.1</v>
      </c>
      <c r="W335" s="6">
        <f t="shared" si="50"/>
        <v>0</v>
      </c>
      <c r="X335">
        <v>1923.1</v>
      </c>
      <c r="Y335">
        <v>1013</v>
      </c>
      <c r="Z335">
        <f t="shared" si="51"/>
        <v>1013</v>
      </c>
      <c r="AA335" s="6">
        <f t="shared" si="52"/>
        <v>0</v>
      </c>
      <c r="AB335">
        <f t="shared" si="53"/>
        <v>0.34501549674738602</v>
      </c>
      <c r="AC335" t="s">
        <v>32</v>
      </c>
      <c r="AD335" t="s">
        <v>33</v>
      </c>
      <c r="AE335" t="s">
        <v>2828</v>
      </c>
    </row>
    <row r="336" spans="1:32">
      <c r="A336" t="s">
        <v>1105</v>
      </c>
      <c r="B336" s="3">
        <v>45635</v>
      </c>
      <c r="C336" t="str">
        <f t="shared" si="46"/>
        <v>December</v>
      </c>
      <c r="D336">
        <f t="shared" si="47"/>
        <v>2024</v>
      </c>
      <c r="E336" s="3">
        <v>45552</v>
      </c>
      <c r="F336">
        <f t="shared" si="45"/>
        <v>-83</v>
      </c>
      <c r="G336" t="s">
        <v>1106</v>
      </c>
      <c r="H336" t="s">
        <v>62</v>
      </c>
      <c r="I336" t="s">
        <v>24</v>
      </c>
      <c r="J336" t="s">
        <v>38</v>
      </c>
      <c r="K336" t="s">
        <v>228</v>
      </c>
      <c r="L336" t="s">
        <v>229</v>
      </c>
      <c r="M336" t="s">
        <v>28</v>
      </c>
      <c r="N336" t="s">
        <v>124</v>
      </c>
      <c r="O336" t="s">
        <v>1107</v>
      </c>
      <c r="P336" t="s">
        <v>50</v>
      </c>
      <c r="Q336">
        <v>9</v>
      </c>
      <c r="R336">
        <v>1921.47</v>
      </c>
      <c r="S336" s="6">
        <v>0.25</v>
      </c>
      <c r="T336" s="6">
        <f t="shared" si="48"/>
        <v>0.25</v>
      </c>
      <c r="U336">
        <v>12969.92</v>
      </c>
      <c r="V336">
        <f t="shared" si="49"/>
        <v>12969.922500000001</v>
      </c>
      <c r="W336" s="6">
        <f t="shared" si="50"/>
        <v>2.500000000509317E-3</v>
      </c>
      <c r="X336">
        <v>9398.4599999999991</v>
      </c>
      <c r="Y336">
        <v>3571.46</v>
      </c>
      <c r="Z336">
        <f t="shared" si="51"/>
        <v>3571.4625000000015</v>
      </c>
      <c r="AA336" s="6">
        <f t="shared" si="52"/>
        <v>2.5000000014188117E-3</v>
      </c>
      <c r="AB336">
        <f t="shared" si="53"/>
        <v>0.27536498386941027</v>
      </c>
      <c r="AC336" t="s">
        <v>32</v>
      </c>
      <c r="AD336" t="s">
        <v>33</v>
      </c>
      <c r="AE336" t="s">
        <v>2826</v>
      </c>
      <c r="AF336" s="10" t="s">
        <v>2790</v>
      </c>
    </row>
    <row r="337" spans="1:32">
      <c r="A337" t="s">
        <v>1108</v>
      </c>
      <c r="B337" s="3">
        <v>45824</v>
      </c>
      <c r="C337" t="str">
        <f t="shared" si="46"/>
        <v>June</v>
      </c>
      <c r="D337">
        <f t="shared" si="47"/>
        <v>2025</v>
      </c>
      <c r="E337" s="3">
        <v>45826</v>
      </c>
      <c r="F337">
        <f t="shared" si="45"/>
        <v>2</v>
      </c>
      <c r="G337" t="s">
        <v>1109</v>
      </c>
      <c r="H337" t="s">
        <v>118</v>
      </c>
      <c r="I337" t="s">
        <v>95</v>
      </c>
      <c r="J337" t="s">
        <v>63</v>
      </c>
      <c r="K337" t="s">
        <v>72</v>
      </c>
      <c r="L337" t="s">
        <v>73</v>
      </c>
      <c r="M337" t="s">
        <v>28</v>
      </c>
      <c r="N337" t="s">
        <v>29</v>
      </c>
      <c r="O337" t="s">
        <v>1110</v>
      </c>
      <c r="P337" t="s">
        <v>50</v>
      </c>
      <c r="Q337">
        <v>3</v>
      </c>
      <c r="R337">
        <v>4289.37</v>
      </c>
      <c r="S337" s="6">
        <v>0.1</v>
      </c>
      <c r="T337" s="6">
        <f t="shared" si="48"/>
        <v>0.1</v>
      </c>
      <c r="U337">
        <v>11581.3</v>
      </c>
      <c r="V337">
        <f t="shared" si="49"/>
        <v>11581.299000000001</v>
      </c>
      <c r="W337" s="6">
        <f t="shared" si="50"/>
        <v>-9.9999999838473741E-4</v>
      </c>
      <c r="X337">
        <v>6829.43</v>
      </c>
      <c r="Y337">
        <v>4751.87</v>
      </c>
      <c r="Z337">
        <f t="shared" si="51"/>
        <v>4751.8690000000006</v>
      </c>
      <c r="AA337" s="6">
        <f t="shared" si="52"/>
        <v>-9.9999999929423211E-4</v>
      </c>
      <c r="AB337">
        <f t="shared" si="53"/>
        <v>0.41030535521101735</v>
      </c>
      <c r="AC337" t="s">
        <v>32</v>
      </c>
      <c r="AD337" t="s">
        <v>33</v>
      </c>
      <c r="AE337" t="s">
        <v>2826</v>
      </c>
      <c r="AF337" s="10" t="s">
        <v>2800</v>
      </c>
    </row>
    <row r="338" spans="1:32">
      <c r="A338" t="s">
        <v>1111</v>
      </c>
      <c r="B338" s="3">
        <v>45368</v>
      </c>
      <c r="C338" t="str">
        <f t="shared" si="46"/>
        <v>March</v>
      </c>
      <c r="D338">
        <f t="shared" si="47"/>
        <v>2024</v>
      </c>
      <c r="E338" s="3">
        <v>45372</v>
      </c>
      <c r="F338">
        <f t="shared" si="45"/>
        <v>4</v>
      </c>
      <c r="G338" t="s">
        <v>863</v>
      </c>
      <c r="H338" t="s">
        <v>128</v>
      </c>
      <c r="I338" t="s">
        <v>24</v>
      </c>
      <c r="J338" t="s">
        <v>25</v>
      </c>
      <c r="K338" t="s">
        <v>26</v>
      </c>
      <c r="L338" t="s">
        <v>27</v>
      </c>
      <c r="M338" t="s">
        <v>74</v>
      </c>
      <c r="N338" t="s">
        <v>80</v>
      </c>
      <c r="O338" t="s">
        <v>1112</v>
      </c>
      <c r="P338" t="s">
        <v>50</v>
      </c>
      <c r="Q338">
        <v>8</v>
      </c>
      <c r="R338">
        <v>1992.57</v>
      </c>
      <c r="S338" s="6">
        <v>0</v>
      </c>
      <c r="T338" s="6">
        <f t="shared" si="48"/>
        <v>0</v>
      </c>
      <c r="U338">
        <v>15940.56</v>
      </c>
      <c r="V338">
        <f t="shared" si="49"/>
        <v>15940.56</v>
      </c>
      <c r="W338" s="6">
        <f t="shared" si="50"/>
        <v>0</v>
      </c>
      <c r="X338">
        <v>12347.15</v>
      </c>
      <c r="Y338">
        <v>3593.41</v>
      </c>
      <c r="Z338">
        <f t="shared" si="51"/>
        <v>3593.41</v>
      </c>
      <c r="AA338" s="6">
        <f t="shared" si="52"/>
        <v>0</v>
      </c>
      <c r="AB338">
        <f t="shared" si="53"/>
        <v>0.2254255810335396</v>
      </c>
      <c r="AC338" t="s">
        <v>32</v>
      </c>
      <c r="AD338" t="s">
        <v>33</v>
      </c>
      <c r="AE338" t="s">
        <v>2828</v>
      </c>
    </row>
    <row r="339" spans="1:32">
      <c r="A339" t="s">
        <v>1113</v>
      </c>
      <c r="B339" s="3">
        <v>45634</v>
      </c>
      <c r="C339" t="str">
        <f t="shared" si="46"/>
        <v>December</v>
      </c>
      <c r="D339">
        <f t="shared" si="47"/>
        <v>2024</v>
      </c>
      <c r="E339" s="3">
        <v>45522</v>
      </c>
      <c r="F339">
        <f t="shared" si="45"/>
        <v>-112</v>
      </c>
      <c r="G339" t="s">
        <v>1114</v>
      </c>
      <c r="H339" t="s">
        <v>62</v>
      </c>
      <c r="I339" t="s">
        <v>24</v>
      </c>
      <c r="J339" t="s">
        <v>38</v>
      </c>
      <c r="K339" t="s">
        <v>166</v>
      </c>
      <c r="L339" t="s">
        <v>167</v>
      </c>
      <c r="M339" t="s">
        <v>28</v>
      </c>
      <c r="N339" t="s">
        <v>91</v>
      </c>
      <c r="O339" t="s">
        <v>1115</v>
      </c>
      <c r="P339" t="s">
        <v>44</v>
      </c>
      <c r="Q339">
        <v>6</v>
      </c>
      <c r="R339">
        <v>1181.74</v>
      </c>
      <c r="S339" s="6">
        <v>0</v>
      </c>
      <c r="T339" s="6">
        <f t="shared" si="48"/>
        <v>0</v>
      </c>
      <c r="U339">
        <v>7090.44</v>
      </c>
      <c r="V339">
        <f t="shared" si="49"/>
        <v>7090.4400000000005</v>
      </c>
      <c r="W339" s="6">
        <f t="shared" si="50"/>
        <v>0</v>
      </c>
      <c r="X339">
        <v>5672.27</v>
      </c>
      <c r="Y339">
        <v>1262.8699999999999</v>
      </c>
      <c r="Z339">
        <f t="shared" si="51"/>
        <v>1418.17</v>
      </c>
      <c r="AA339" s="6">
        <f t="shared" si="52"/>
        <v>155.30000000000018</v>
      </c>
      <c r="AB339">
        <f t="shared" si="53"/>
        <v>0.20001156486762456</v>
      </c>
      <c r="AC339" t="s">
        <v>32</v>
      </c>
      <c r="AD339" t="s">
        <v>33</v>
      </c>
      <c r="AE339" t="s">
        <v>2826</v>
      </c>
      <c r="AF339" s="10" t="s">
        <v>2790</v>
      </c>
    </row>
    <row r="340" spans="1:32">
      <c r="A340" t="s">
        <v>1116</v>
      </c>
      <c r="B340" s="3">
        <v>45516</v>
      </c>
      <c r="C340" t="str">
        <f t="shared" si="46"/>
        <v>August</v>
      </c>
      <c r="D340">
        <f t="shared" si="47"/>
        <v>2024</v>
      </c>
      <c r="E340" s="3">
        <v>45634</v>
      </c>
      <c r="F340">
        <f t="shared" si="45"/>
        <v>118</v>
      </c>
      <c r="G340" t="s">
        <v>1117</v>
      </c>
      <c r="H340" t="s">
        <v>53</v>
      </c>
      <c r="I340" t="s">
        <v>37</v>
      </c>
      <c r="J340" t="s">
        <v>54</v>
      </c>
      <c r="K340" t="s">
        <v>84</v>
      </c>
      <c r="L340" t="s">
        <v>85</v>
      </c>
      <c r="M340" t="s">
        <v>74</v>
      </c>
      <c r="N340" t="s">
        <v>75</v>
      </c>
      <c r="O340" t="s">
        <v>1118</v>
      </c>
      <c r="P340" t="s">
        <v>50</v>
      </c>
      <c r="Q340">
        <v>8</v>
      </c>
      <c r="R340">
        <v>4402.3599999999997</v>
      </c>
      <c r="S340" s="6">
        <v>0.25</v>
      </c>
      <c r="T340" s="6">
        <f t="shared" si="48"/>
        <v>0.25</v>
      </c>
      <c r="U340">
        <v>26414.16</v>
      </c>
      <c r="V340">
        <f t="shared" si="49"/>
        <v>26414.159999999996</v>
      </c>
      <c r="W340" s="6">
        <f t="shared" si="50"/>
        <v>0</v>
      </c>
      <c r="X340">
        <v>21822.53</v>
      </c>
      <c r="Y340">
        <v>4591.63</v>
      </c>
      <c r="Z340">
        <f t="shared" si="51"/>
        <v>4591.6299999999974</v>
      </c>
      <c r="AA340" s="6">
        <f t="shared" si="52"/>
        <v>0</v>
      </c>
      <c r="AB340">
        <f t="shared" si="53"/>
        <v>0.17383214154832097</v>
      </c>
      <c r="AC340" t="s">
        <v>32</v>
      </c>
      <c r="AD340" t="s">
        <v>33</v>
      </c>
      <c r="AE340" t="s">
        <v>2828</v>
      </c>
    </row>
    <row r="341" spans="1:32">
      <c r="A341" t="s">
        <v>1119</v>
      </c>
      <c r="B341" s="3">
        <v>45708</v>
      </c>
      <c r="C341" t="str">
        <f t="shared" si="46"/>
        <v>February</v>
      </c>
      <c r="D341">
        <f t="shared" si="47"/>
        <v>2025</v>
      </c>
      <c r="E341" s="3">
        <v>45710</v>
      </c>
      <c r="F341">
        <f t="shared" si="45"/>
        <v>2</v>
      </c>
      <c r="G341" t="s">
        <v>1120</v>
      </c>
      <c r="H341" t="s">
        <v>79</v>
      </c>
      <c r="I341" t="s">
        <v>90</v>
      </c>
      <c r="J341" t="s">
        <v>38</v>
      </c>
      <c r="K341" t="s">
        <v>228</v>
      </c>
      <c r="L341" t="s">
        <v>229</v>
      </c>
      <c r="M341" t="s">
        <v>41</v>
      </c>
      <c r="N341" t="s">
        <v>158</v>
      </c>
      <c r="O341" t="s">
        <v>1121</v>
      </c>
      <c r="P341" t="s">
        <v>59</v>
      </c>
      <c r="Q341">
        <v>8</v>
      </c>
      <c r="R341">
        <v>3265.76</v>
      </c>
      <c r="S341" s="6">
        <v>0.2</v>
      </c>
      <c r="T341" s="6">
        <f t="shared" si="48"/>
        <v>0.2</v>
      </c>
      <c r="U341">
        <v>20900.86</v>
      </c>
      <c r="V341">
        <f t="shared" si="49"/>
        <v>20900.864000000001</v>
      </c>
      <c r="W341" s="6">
        <f t="shared" si="50"/>
        <v>4.0000000008149073E-3</v>
      </c>
      <c r="X341">
        <v>12513.14</v>
      </c>
      <c r="Y341">
        <v>8387.7199999999993</v>
      </c>
      <c r="Z341">
        <f t="shared" si="51"/>
        <v>8387.724000000002</v>
      </c>
      <c r="AA341" s="6">
        <f t="shared" si="52"/>
        <v>4.0000000026338967E-3</v>
      </c>
      <c r="AB341">
        <f t="shared" si="53"/>
        <v>0.40130991714026759</v>
      </c>
      <c r="AC341" t="s">
        <v>32</v>
      </c>
      <c r="AD341" t="s">
        <v>33</v>
      </c>
      <c r="AE341" t="s">
        <v>2828</v>
      </c>
    </row>
    <row r="342" spans="1:32">
      <c r="A342" t="s">
        <v>1122</v>
      </c>
      <c r="B342" s="3">
        <v>45312</v>
      </c>
      <c r="C342" t="str">
        <f t="shared" si="46"/>
        <v>January</v>
      </c>
      <c r="D342">
        <f t="shared" si="47"/>
        <v>2024</v>
      </c>
      <c r="E342" s="3">
        <v>45320</v>
      </c>
      <c r="F342">
        <f t="shared" si="45"/>
        <v>8</v>
      </c>
      <c r="G342" t="s">
        <v>1123</v>
      </c>
      <c r="H342" t="s">
        <v>79</v>
      </c>
      <c r="I342" t="s">
        <v>24</v>
      </c>
      <c r="J342" t="s">
        <v>54</v>
      </c>
      <c r="K342" t="s">
        <v>175</v>
      </c>
      <c r="L342" t="s">
        <v>176</v>
      </c>
      <c r="M342" t="s">
        <v>28</v>
      </c>
      <c r="N342" t="s">
        <v>153</v>
      </c>
      <c r="O342" t="s">
        <v>1124</v>
      </c>
      <c r="P342" t="s">
        <v>59</v>
      </c>
      <c r="Q342">
        <v>5</v>
      </c>
      <c r="R342">
        <v>4058.08</v>
      </c>
      <c r="S342" s="6">
        <v>0.1</v>
      </c>
      <c r="T342" s="6">
        <f t="shared" si="48"/>
        <v>0.1</v>
      </c>
      <c r="U342">
        <v>18261.36</v>
      </c>
      <c r="V342">
        <f t="shared" si="49"/>
        <v>18261.36</v>
      </c>
      <c r="W342" s="6">
        <f t="shared" si="50"/>
        <v>0</v>
      </c>
      <c r="X342">
        <v>11399.94</v>
      </c>
      <c r="Y342">
        <v>6861.42</v>
      </c>
      <c r="Z342">
        <f t="shared" si="51"/>
        <v>6861.42</v>
      </c>
      <c r="AA342" s="6">
        <f t="shared" si="52"/>
        <v>0</v>
      </c>
      <c r="AB342">
        <f t="shared" si="53"/>
        <v>0.3757343374206521</v>
      </c>
      <c r="AC342" t="s">
        <v>32</v>
      </c>
      <c r="AD342" t="s">
        <v>33</v>
      </c>
      <c r="AE342" t="s">
        <v>2828</v>
      </c>
    </row>
    <row r="343" spans="1:32">
      <c r="A343" t="s">
        <v>1125</v>
      </c>
      <c r="B343" s="3">
        <v>45878</v>
      </c>
      <c r="C343" t="str">
        <f t="shared" si="46"/>
        <v>August</v>
      </c>
      <c r="D343">
        <f t="shared" si="47"/>
        <v>2025</v>
      </c>
      <c r="E343" s="3">
        <v>45909</v>
      </c>
      <c r="F343">
        <f t="shared" si="45"/>
        <v>31</v>
      </c>
      <c r="G343" t="s">
        <v>1126</v>
      </c>
      <c r="H343" t="s">
        <v>141</v>
      </c>
      <c r="I343" t="s">
        <v>95</v>
      </c>
      <c r="J343" t="s">
        <v>63</v>
      </c>
      <c r="K343" t="s">
        <v>180</v>
      </c>
      <c r="L343" t="s">
        <v>181</v>
      </c>
      <c r="M343" t="s">
        <v>41</v>
      </c>
      <c r="N343" t="s">
        <v>66</v>
      </c>
      <c r="O343" t="s">
        <v>1127</v>
      </c>
      <c r="P343" t="s">
        <v>31</v>
      </c>
      <c r="Q343">
        <v>2</v>
      </c>
      <c r="R343">
        <v>3960.33</v>
      </c>
      <c r="S343" s="6">
        <v>0.05</v>
      </c>
      <c r="T343" s="6">
        <f t="shared" si="48"/>
        <v>0.05</v>
      </c>
      <c r="U343">
        <v>7524.63</v>
      </c>
      <c r="V343">
        <f t="shared" si="49"/>
        <v>7524.6269999999995</v>
      </c>
      <c r="W343" s="6">
        <f t="shared" si="50"/>
        <v>-3.0000000006111804E-3</v>
      </c>
      <c r="X343">
        <v>6229.6</v>
      </c>
      <c r="Y343">
        <v>1295.03</v>
      </c>
      <c r="Z343">
        <f t="shared" si="51"/>
        <v>1295.0269999999991</v>
      </c>
      <c r="AA343" s="6">
        <f t="shared" si="52"/>
        <v>-3.0000000008385541E-3</v>
      </c>
      <c r="AB343">
        <f t="shared" si="53"/>
        <v>0.17210514222166751</v>
      </c>
      <c r="AC343" t="s">
        <v>32</v>
      </c>
      <c r="AD343" t="s">
        <v>33</v>
      </c>
      <c r="AE343" t="s">
        <v>2828</v>
      </c>
    </row>
    <row r="344" spans="1:32">
      <c r="A344" t="s">
        <v>1128</v>
      </c>
      <c r="B344" s="3">
        <v>45862</v>
      </c>
      <c r="C344" t="str">
        <f t="shared" si="46"/>
        <v>July</v>
      </c>
      <c r="D344">
        <f t="shared" si="47"/>
        <v>2025</v>
      </c>
      <c r="E344" s="3">
        <v>45665</v>
      </c>
      <c r="F344">
        <f t="shared" si="45"/>
        <v>-197</v>
      </c>
      <c r="G344" t="s">
        <v>1129</v>
      </c>
      <c r="H344" t="s">
        <v>264</v>
      </c>
      <c r="I344" t="s">
        <v>37</v>
      </c>
      <c r="J344" t="s">
        <v>38</v>
      </c>
      <c r="K344" t="s">
        <v>228</v>
      </c>
      <c r="L344" t="s">
        <v>229</v>
      </c>
      <c r="M344" t="s">
        <v>28</v>
      </c>
      <c r="N344" t="s">
        <v>153</v>
      </c>
      <c r="O344" t="s">
        <v>1130</v>
      </c>
      <c r="P344" t="s">
        <v>50</v>
      </c>
      <c r="Q344">
        <v>8</v>
      </c>
      <c r="R344">
        <v>1528.92</v>
      </c>
      <c r="S344" s="6">
        <v>0</v>
      </c>
      <c r="T344" s="6">
        <f t="shared" si="48"/>
        <v>0</v>
      </c>
      <c r="U344">
        <v>12231.36</v>
      </c>
      <c r="V344">
        <f t="shared" si="49"/>
        <v>12231.36</v>
      </c>
      <c r="W344" s="6">
        <f t="shared" si="50"/>
        <v>0</v>
      </c>
      <c r="X344">
        <v>8766.9</v>
      </c>
      <c r="Y344">
        <v>3464.46</v>
      </c>
      <c r="Z344">
        <f t="shared" si="51"/>
        <v>3464.4600000000009</v>
      </c>
      <c r="AA344" s="6">
        <f t="shared" si="52"/>
        <v>0</v>
      </c>
      <c r="AB344">
        <f t="shared" si="53"/>
        <v>0.28324405462679547</v>
      </c>
      <c r="AC344" t="s">
        <v>32</v>
      </c>
      <c r="AD344" t="s">
        <v>33</v>
      </c>
      <c r="AE344" t="s">
        <v>2826</v>
      </c>
      <c r="AF344" s="10" t="s">
        <v>2790</v>
      </c>
    </row>
    <row r="345" spans="1:32">
      <c r="A345" t="s">
        <v>1131</v>
      </c>
      <c r="B345" s="3">
        <v>45933</v>
      </c>
      <c r="C345" t="str">
        <f t="shared" si="46"/>
        <v>October</v>
      </c>
      <c r="D345">
        <f t="shared" si="47"/>
        <v>2025</v>
      </c>
      <c r="E345" s="3">
        <v>45879</v>
      </c>
      <c r="F345">
        <f t="shared" si="45"/>
        <v>-54</v>
      </c>
      <c r="G345" t="s">
        <v>1132</v>
      </c>
      <c r="H345" t="s">
        <v>128</v>
      </c>
      <c r="I345" t="s">
        <v>90</v>
      </c>
      <c r="J345" t="s">
        <v>63</v>
      </c>
      <c r="K345" t="s">
        <v>72</v>
      </c>
      <c r="L345" t="s">
        <v>73</v>
      </c>
      <c r="M345" t="s">
        <v>74</v>
      </c>
      <c r="N345" t="s">
        <v>274</v>
      </c>
      <c r="O345" t="s">
        <v>1133</v>
      </c>
      <c r="P345" t="s">
        <v>44</v>
      </c>
      <c r="Q345">
        <v>9</v>
      </c>
      <c r="R345">
        <v>3837</v>
      </c>
      <c r="S345" s="6">
        <v>0.1</v>
      </c>
      <c r="T345" s="6">
        <f t="shared" si="48"/>
        <v>0.1</v>
      </c>
      <c r="U345">
        <v>31079.7</v>
      </c>
      <c r="V345">
        <f t="shared" si="49"/>
        <v>31079.7</v>
      </c>
      <c r="W345" s="6">
        <f t="shared" si="50"/>
        <v>0</v>
      </c>
      <c r="X345">
        <v>17758.25</v>
      </c>
      <c r="Y345">
        <v>13321.45</v>
      </c>
      <c r="Z345">
        <f t="shared" si="51"/>
        <v>13321.45</v>
      </c>
      <c r="AA345" s="6">
        <f t="shared" si="52"/>
        <v>0</v>
      </c>
      <c r="AB345">
        <f t="shared" si="53"/>
        <v>0.4286222196481948</v>
      </c>
      <c r="AC345" t="s">
        <v>32</v>
      </c>
      <c r="AD345" t="s">
        <v>33</v>
      </c>
      <c r="AE345" t="s">
        <v>2826</v>
      </c>
      <c r="AF345" s="10" t="s">
        <v>2790</v>
      </c>
    </row>
    <row r="346" spans="1:32">
      <c r="A346" t="s">
        <v>1134</v>
      </c>
      <c r="B346" s="3">
        <v>45599</v>
      </c>
      <c r="C346" t="str">
        <f t="shared" si="46"/>
        <v>November</v>
      </c>
      <c r="D346">
        <f t="shared" si="47"/>
        <v>2024</v>
      </c>
      <c r="E346" s="3">
        <v>45599</v>
      </c>
      <c r="F346">
        <f t="shared" si="45"/>
        <v>0</v>
      </c>
      <c r="G346" t="s">
        <v>1135</v>
      </c>
      <c r="H346" t="s">
        <v>114</v>
      </c>
      <c r="I346" t="s">
        <v>24</v>
      </c>
      <c r="J346" t="s">
        <v>25</v>
      </c>
      <c r="K346" t="s">
        <v>122</v>
      </c>
      <c r="L346" t="s">
        <v>123</v>
      </c>
      <c r="M346" t="s">
        <v>41</v>
      </c>
      <c r="N346" t="s">
        <v>158</v>
      </c>
      <c r="O346" t="s">
        <v>1136</v>
      </c>
      <c r="P346" t="s">
        <v>44</v>
      </c>
      <c r="Q346">
        <v>9</v>
      </c>
      <c r="R346">
        <v>3456.38</v>
      </c>
      <c r="S346" s="6">
        <v>0</v>
      </c>
      <c r="T346" s="6">
        <f t="shared" si="48"/>
        <v>0</v>
      </c>
      <c r="U346">
        <v>31107.42</v>
      </c>
      <c r="V346">
        <f t="shared" si="49"/>
        <v>31107.420000000002</v>
      </c>
      <c r="W346" s="6">
        <f t="shared" si="50"/>
        <v>0</v>
      </c>
      <c r="X346">
        <v>20146.66</v>
      </c>
      <c r="Y346">
        <v>10960.76</v>
      </c>
      <c r="Z346">
        <f t="shared" si="51"/>
        <v>10960.760000000002</v>
      </c>
      <c r="AA346" s="6">
        <f t="shared" si="52"/>
        <v>0</v>
      </c>
      <c r="AB346">
        <f t="shared" si="53"/>
        <v>0.3523519468988428</v>
      </c>
      <c r="AC346" t="s">
        <v>111</v>
      </c>
      <c r="AD346" t="s">
        <v>103</v>
      </c>
      <c r="AE346" t="s">
        <v>2827</v>
      </c>
      <c r="AF346" t="s">
        <v>2814</v>
      </c>
    </row>
    <row r="347" spans="1:32">
      <c r="A347" t="s">
        <v>1137</v>
      </c>
      <c r="B347" s="3">
        <v>45549</v>
      </c>
      <c r="C347" t="str">
        <f t="shared" si="46"/>
        <v>September</v>
      </c>
      <c r="D347">
        <f t="shared" si="47"/>
        <v>2024</v>
      </c>
      <c r="E347" s="3">
        <v>45557</v>
      </c>
      <c r="F347">
        <f t="shared" si="45"/>
        <v>8</v>
      </c>
      <c r="G347" t="s">
        <v>1138</v>
      </c>
      <c r="H347" t="s">
        <v>23</v>
      </c>
      <c r="I347" t="s">
        <v>24</v>
      </c>
      <c r="J347" t="s">
        <v>63</v>
      </c>
      <c r="K347" t="s">
        <v>72</v>
      </c>
      <c r="L347" t="s">
        <v>73</v>
      </c>
      <c r="M347" t="s">
        <v>41</v>
      </c>
      <c r="N347" t="s">
        <v>57</v>
      </c>
      <c r="O347" t="s">
        <v>1139</v>
      </c>
      <c r="P347" t="s">
        <v>31</v>
      </c>
      <c r="Q347">
        <v>2</v>
      </c>
      <c r="R347">
        <v>2765.3</v>
      </c>
      <c r="S347" s="6">
        <v>0</v>
      </c>
      <c r="T347" s="6">
        <f t="shared" si="48"/>
        <v>0</v>
      </c>
      <c r="U347">
        <v>5530.6</v>
      </c>
      <c r="V347">
        <f t="shared" si="49"/>
        <v>5530.6</v>
      </c>
      <c r="W347" s="6">
        <f t="shared" si="50"/>
        <v>0</v>
      </c>
      <c r="X347">
        <v>4453.1099999999997</v>
      </c>
      <c r="Y347">
        <v>1077.49</v>
      </c>
      <c r="Z347">
        <f t="shared" si="51"/>
        <v>1077.4900000000007</v>
      </c>
      <c r="AA347" s="6">
        <f t="shared" si="52"/>
        <v>0</v>
      </c>
      <c r="AB347">
        <f t="shared" si="53"/>
        <v>0.19482334647235391</v>
      </c>
      <c r="AC347" t="s">
        <v>32</v>
      </c>
      <c r="AD347" t="s">
        <v>33</v>
      </c>
      <c r="AE347" t="s">
        <v>2828</v>
      </c>
    </row>
    <row r="348" spans="1:32">
      <c r="A348" t="s">
        <v>1140</v>
      </c>
      <c r="B348" s="3">
        <v>45860</v>
      </c>
      <c r="C348" t="str">
        <f t="shared" si="46"/>
        <v>July</v>
      </c>
      <c r="D348">
        <f t="shared" si="47"/>
        <v>2025</v>
      </c>
      <c r="E348" s="3">
        <v>45866</v>
      </c>
      <c r="F348">
        <f t="shared" si="45"/>
        <v>6</v>
      </c>
      <c r="G348" t="s">
        <v>1141</v>
      </c>
      <c r="H348" t="s">
        <v>118</v>
      </c>
      <c r="I348" t="s">
        <v>90</v>
      </c>
      <c r="J348" t="s">
        <v>54</v>
      </c>
      <c r="K348" t="s">
        <v>185</v>
      </c>
      <c r="L348" t="s">
        <v>186</v>
      </c>
      <c r="M348" t="s">
        <v>41</v>
      </c>
      <c r="N348" t="s">
        <v>66</v>
      </c>
      <c r="O348" t="s">
        <v>1142</v>
      </c>
      <c r="P348" t="s">
        <v>31</v>
      </c>
      <c r="Q348">
        <v>6</v>
      </c>
      <c r="R348">
        <v>1607.46</v>
      </c>
      <c r="S348" s="6">
        <v>0.2</v>
      </c>
      <c r="T348" s="6">
        <f t="shared" si="48"/>
        <v>0.2</v>
      </c>
      <c r="U348">
        <v>7715.81</v>
      </c>
      <c r="V348">
        <f t="shared" si="49"/>
        <v>7715.8080000000009</v>
      </c>
      <c r="W348" s="6">
        <f t="shared" si="50"/>
        <v>-1.9999999994979589E-3</v>
      </c>
      <c r="X348">
        <v>4258.42</v>
      </c>
      <c r="Y348">
        <v>3457.39</v>
      </c>
      <c r="Z348">
        <f t="shared" si="51"/>
        <v>3457.3880000000008</v>
      </c>
      <c r="AA348" s="6">
        <f t="shared" si="52"/>
        <v>-1.9999999990432116E-3</v>
      </c>
      <c r="AB348">
        <f t="shared" si="53"/>
        <v>0.4480915025360922</v>
      </c>
      <c r="AC348" t="s">
        <v>32</v>
      </c>
      <c r="AD348" t="s">
        <v>33</v>
      </c>
      <c r="AE348" t="s">
        <v>2828</v>
      </c>
    </row>
    <row r="349" spans="1:32">
      <c r="A349" t="s">
        <v>1143</v>
      </c>
      <c r="B349" s="3">
        <v>45303</v>
      </c>
      <c r="C349" t="str">
        <f t="shared" si="46"/>
        <v>January</v>
      </c>
      <c r="D349">
        <f t="shared" si="47"/>
        <v>2024</v>
      </c>
      <c r="E349" s="3">
        <v>45634</v>
      </c>
      <c r="F349">
        <f t="shared" si="45"/>
        <v>331</v>
      </c>
      <c r="G349" t="s">
        <v>1144</v>
      </c>
      <c r="H349" t="s">
        <v>128</v>
      </c>
      <c r="I349" t="s">
        <v>37</v>
      </c>
      <c r="J349" t="s">
        <v>63</v>
      </c>
      <c r="K349" t="s">
        <v>190</v>
      </c>
      <c r="L349" t="s">
        <v>191</v>
      </c>
      <c r="M349" t="s">
        <v>41</v>
      </c>
      <c r="N349" t="s">
        <v>66</v>
      </c>
      <c r="O349" t="s">
        <v>1145</v>
      </c>
      <c r="P349" t="s">
        <v>31</v>
      </c>
      <c r="Q349">
        <v>5</v>
      </c>
      <c r="R349">
        <v>2981.49</v>
      </c>
      <c r="S349" s="6">
        <v>0.2</v>
      </c>
      <c r="T349" s="6">
        <f t="shared" si="48"/>
        <v>0.2</v>
      </c>
      <c r="U349">
        <v>11925.96</v>
      </c>
      <c r="V349">
        <f t="shared" si="49"/>
        <v>11925.96</v>
      </c>
      <c r="W349" s="6">
        <f t="shared" si="50"/>
        <v>0</v>
      </c>
      <c r="X349">
        <v>10103.51</v>
      </c>
      <c r="Y349">
        <v>1822.45</v>
      </c>
      <c r="Z349">
        <f t="shared" si="51"/>
        <v>1822.4499999999989</v>
      </c>
      <c r="AA349" s="6">
        <f t="shared" si="52"/>
        <v>0</v>
      </c>
      <c r="AB349">
        <f t="shared" si="53"/>
        <v>0.15281369382422874</v>
      </c>
      <c r="AC349" t="s">
        <v>102</v>
      </c>
      <c r="AD349" t="s">
        <v>103</v>
      </c>
      <c r="AE349" t="s">
        <v>2827</v>
      </c>
      <c r="AF349" t="s">
        <v>2807</v>
      </c>
    </row>
    <row r="350" spans="1:32">
      <c r="A350" t="s">
        <v>1146</v>
      </c>
      <c r="B350" s="3">
        <v>45445</v>
      </c>
      <c r="C350" t="str">
        <f t="shared" si="46"/>
        <v>June</v>
      </c>
      <c r="D350">
        <f t="shared" si="47"/>
        <v>2024</v>
      </c>
      <c r="E350" s="3">
        <v>45450</v>
      </c>
      <c r="F350">
        <f t="shared" si="45"/>
        <v>5</v>
      </c>
      <c r="G350" t="s">
        <v>1147</v>
      </c>
      <c r="H350" t="s">
        <v>128</v>
      </c>
      <c r="I350" t="s">
        <v>90</v>
      </c>
      <c r="J350" t="s">
        <v>54</v>
      </c>
      <c r="K350" t="s">
        <v>175</v>
      </c>
      <c r="L350" t="s">
        <v>176</v>
      </c>
      <c r="M350" t="s">
        <v>74</v>
      </c>
      <c r="N350" t="s">
        <v>171</v>
      </c>
      <c r="O350" t="s">
        <v>1148</v>
      </c>
      <c r="P350" t="s">
        <v>44</v>
      </c>
      <c r="Q350">
        <v>9</v>
      </c>
      <c r="R350">
        <v>2860.26</v>
      </c>
      <c r="S350" s="6">
        <v>0.25</v>
      </c>
      <c r="T350" s="6">
        <f t="shared" si="48"/>
        <v>0.25</v>
      </c>
      <c r="U350">
        <v>19306.759999999998</v>
      </c>
      <c r="V350">
        <f t="shared" si="49"/>
        <v>19306.755000000005</v>
      </c>
      <c r="W350" s="6">
        <f t="shared" si="50"/>
        <v>-4.9999999937426765E-3</v>
      </c>
      <c r="X350">
        <v>14442.38</v>
      </c>
      <c r="Y350">
        <v>4864.38</v>
      </c>
      <c r="Z350">
        <f t="shared" si="51"/>
        <v>4864.3750000000055</v>
      </c>
      <c r="AA350" s="6">
        <f t="shared" si="52"/>
        <v>-4.9999999946521712E-3</v>
      </c>
      <c r="AB350">
        <f t="shared" si="53"/>
        <v>0.25195197225012717</v>
      </c>
      <c r="AC350" t="s">
        <v>32</v>
      </c>
      <c r="AD350" t="s">
        <v>33</v>
      </c>
      <c r="AE350" t="s">
        <v>2828</v>
      </c>
    </row>
    <row r="351" spans="1:32">
      <c r="A351" t="s">
        <v>1149</v>
      </c>
      <c r="B351" s="3">
        <v>45927</v>
      </c>
      <c r="C351" t="str">
        <f t="shared" si="46"/>
        <v>September</v>
      </c>
      <c r="D351">
        <f t="shared" si="47"/>
        <v>2025</v>
      </c>
      <c r="E351" s="3">
        <v>45929</v>
      </c>
      <c r="F351">
        <f t="shared" si="45"/>
        <v>2</v>
      </c>
      <c r="G351" t="s">
        <v>1150</v>
      </c>
      <c r="H351" t="s">
        <v>264</v>
      </c>
      <c r="I351" t="s">
        <v>95</v>
      </c>
      <c r="J351" t="s">
        <v>38</v>
      </c>
      <c r="K351" t="s">
        <v>228</v>
      </c>
      <c r="L351" t="s">
        <v>229</v>
      </c>
      <c r="M351" t="s">
        <v>41</v>
      </c>
      <c r="N351" t="s">
        <v>57</v>
      </c>
      <c r="O351" t="s">
        <v>1151</v>
      </c>
      <c r="P351" t="s">
        <v>31</v>
      </c>
      <c r="Q351">
        <v>9</v>
      </c>
      <c r="R351">
        <v>2867.55</v>
      </c>
      <c r="S351" s="6">
        <v>0.25</v>
      </c>
      <c r="T351" s="6">
        <f t="shared" si="48"/>
        <v>0.25</v>
      </c>
      <c r="U351">
        <v>19355.96</v>
      </c>
      <c r="V351">
        <f t="shared" si="49"/>
        <v>19355.962500000001</v>
      </c>
      <c r="W351" s="6">
        <f t="shared" si="50"/>
        <v>2.5000000023283064E-3</v>
      </c>
      <c r="X351">
        <v>15012.45</v>
      </c>
      <c r="Y351">
        <v>4017.4</v>
      </c>
      <c r="Z351">
        <f t="shared" si="51"/>
        <v>4343.5125000000007</v>
      </c>
      <c r="AA351" s="6">
        <f t="shared" si="52"/>
        <v>326.11250000000064</v>
      </c>
      <c r="AB351">
        <f t="shared" si="53"/>
        <v>0.22440178317146461</v>
      </c>
      <c r="AC351" t="s">
        <v>32</v>
      </c>
      <c r="AD351" t="s">
        <v>33</v>
      </c>
      <c r="AE351" t="s">
        <v>2828</v>
      </c>
    </row>
    <row r="352" spans="1:32">
      <c r="A352" t="s">
        <v>1152</v>
      </c>
      <c r="B352" s="3">
        <v>45474</v>
      </c>
      <c r="C352" t="str">
        <f t="shared" si="46"/>
        <v>July</v>
      </c>
      <c r="D352">
        <f t="shared" si="47"/>
        <v>2024</v>
      </c>
      <c r="E352" s="3">
        <v>45305</v>
      </c>
      <c r="F352">
        <f t="shared" si="45"/>
        <v>-169</v>
      </c>
      <c r="G352" t="s">
        <v>1153</v>
      </c>
      <c r="H352" t="s">
        <v>132</v>
      </c>
      <c r="I352" t="s">
        <v>37</v>
      </c>
      <c r="J352" t="s">
        <v>38</v>
      </c>
      <c r="K352" t="s">
        <v>228</v>
      </c>
      <c r="L352" t="s">
        <v>229</v>
      </c>
      <c r="M352" t="s">
        <v>41</v>
      </c>
      <c r="N352" t="s">
        <v>57</v>
      </c>
      <c r="O352" t="s">
        <v>1154</v>
      </c>
      <c r="P352" t="s">
        <v>31</v>
      </c>
      <c r="Q352">
        <v>4</v>
      </c>
      <c r="R352">
        <v>3309.54</v>
      </c>
      <c r="S352" s="6">
        <v>0.1</v>
      </c>
      <c r="T352" s="6">
        <f t="shared" si="48"/>
        <v>0.1</v>
      </c>
      <c r="U352">
        <v>11914.34</v>
      </c>
      <c r="V352">
        <f t="shared" si="49"/>
        <v>11914.344000000001</v>
      </c>
      <c r="W352" s="6">
        <f t="shared" si="50"/>
        <v>4.0000000008149073E-3</v>
      </c>
      <c r="X352">
        <v>9771.24</v>
      </c>
      <c r="Y352">
        <v>2143.1</v>
      </c>
      <c r="Z352">
        <f t="shared" si="51"/>
        <v>2143.1040000000012</v>
      </c>
      <c r="AA352" s="6">
        <f t="shared" si="52"/>
        <v>4.0000000012696546E-3</v>
      </c>
      <c r="AB352">
        <f t="shared" si="53"/>
        <v>0.17987595456367561</v>
      </c>
      <c r="AC352" t="s">
        <v>102</v>
      </c>
      <c r="AD352" t="s">
        <v>103</v>
      </c>
      <c r="AE352" t="s">
        <v>2826</v>
      </c>
      <c r="AF352" s="10" t="s">
        <v>2812</v>
      </c>
    </row>
    <row r="353" spans="1:32">
      <c r="A353" t="s">
        <v>1155</v>
      </c>
      <c r="B353" s="3">
        <v>45800</v>
      </c>
      <c r="C353" t="str">
        <f t="shared" si="46"/>
        <v>May</v>
      </c>
      <c r="D353">
        <f t="shared" si="47"/>
        <v>2025</v>
      </c>
      <c r="E353" s="3">
        <v>45804</v>
      </c>
      <c r="F353">
        <f t="shared" si="45"/>
        <v>4</v>
      </c>
      <c r="G353" t="s">
        <v>1156</v>
      </c>
      <c r="H353" t="s">
        <v>71</v>
      </c>
      <c r="I353" t="s">
        <v>37</v>
      </c>
      <c r="J353" t="s">
        <v>54</v>
      </c>
      <c r="K353" t="s">
        <v>55</v>
      </c>
      <c r="L353" t="s">
        <v>56</v>
      </c>
      <c r="M353" t="s">
        <v>28</v>
      </c>
      <c r="N353" t="s">
        <v>124</v>
      </c>
      <c r="O353" t="s">
        <v>1157</v>
      </c>
      <c r="P353" t="s">
        <v>50</v>
      </c>
      <c r="Q353">
        <v>6</v>
      </c>
      <c r="R353">
        <v>719.44</v>
      </c>
      <c r="S353" s="6">
        <v>0.25</v>
      </c>
      <c r="T353" s="6">
        <f t="shared" si="48"/>
        <v>0.25</v>
      </c>
      <c r="U353">
        <v>3237.48</v>
      </c>
      <c r="V353">
        <f t="shared" si="49"/>
        <v>3237.4800000000005</v>
      </c>
      <c r="W353" s="6">
        <f t="shared" si="50"/>
        <v>0</v>
      </c>
      <c r="X353">
        <v>2118.34</v>
      </c>
      <c r="Y353">
        <v>1119.1400000000001</v>
      </c>
      <c r="Z353">
        <f t="shared" si="51"/>
        <v>1119.1400000000003</v>
      </c>
      <c r="AA353" s="6">
        <f t="shared" si="52"/>
        <v>0</v>
      </c>
      <c r="AB353">
        <f t="shared" si="53"/>
        <v>0.34568244437031276</v>
      </c>
      <c r="AC353" t="s">
        <v>111</v>
      </c>
      <c r="AD353" t="s">
        <v>68</v>
      </c>
      <c r="AE353" t="s">
        <v>2827</v>
      </c>
      <c r="AF353" t="s">
        <v>2804</v>
      </c>
    </row>
    <row r="354" spans="1:32">
      <c r="A354" t="s">
        <v>1158</v>
      </c>
      <c r="B354" s="3">
        <v>45884</v>
      </c>
      <c r="C354" t="str">
        <f t="shared" si="46"/>
        <v>August</v>
      </c>
      <c r="D354">
        <f t="shared" si="47"/>
        <v>2025</v>
      </c>
      <c r="E354" s="3">
        <v>45886</v>
      </c>
      <c r="F354">
        <f t="shared" si="45"/>
        <v>2</v>
      </c>
      <c r="G354" t="s">
        <v>1159</v>
      </c>
      <c r="H354" t="s">
        <v>162</v>
      </c>
      <c r="I354" t="s">
        <v>37</v>
      </c>
      <c r="J354" t="s">
        <v>38</v>
      </c>
      <c r="K354" t="s">
        <v>166</v>
      </c>
      <c r="L354" t="s">
        <v>167</v>
      </c>
      <c r="M354" t="s">
        <v>74</v>
      </c>
      <c r="N354" t="s">
        <v>80</v>
      </c>
      <c r="O354" t="s">
        <v>1160</v>
      </c>
      <c r="P354" t="s">
        <v>50</v>
      </c>
      <c r="Q354">
        <v>5</v>
      </c>
      <c r="R354">
        <v>2862.6</v>
      </c>
      <c r="S354" s="6">
        <v>0.25</v>
      </c>
      <c r="T354" s="6">
        <f t="shared" si="48"/>
        <v>0.25</v>
      </c>
      <c r="U354">
        <v>10734.75</v>
      </c>
      <c r="V354">
        <f t="shared" si="49"/>
        <v>10734.75</v>
      </c>
      <c r="W354" s="6">
        <f t="shared" si="50"/>
        <v>0</v>
      </c>
      <c r="X354">
        <v>6475.73</v>
      </c>
      <c r="Y354">
        <v>4259.0200000000004</v>
      </c>
      <c r="Z354">
        <f t="shared" si="51"/>
        <v>4259.0200000000004</v>
      </c>
      <c r="AA354" s="6">
        <f t="shared" si="52"/>
        <v>0</v>
      </c>
      <c r="AB354">
        <f t="shared" si="53"/>
        <v>0.39675073942103917</v>
      </c>
      <c r="AC354" t="s">
        <v>32</v>
      </c>
      <c r="AD354" t="s">
        <v>33</v>
      </c>
      <c r="AE354" t="s">
        <v>2828</v>
      </c>
    </row>
    <row r="355" spans="1:32">
      <c r="A355" t="s">
        <v>1161</v>
      </c>
      <c r="B355" s="3">
        <v>45709</v>
      </c>
      <c r="C355" t="str">
        <f t="shared" si="46"/>
        <v>February</v>
      </c>
      <c r="D355">
        <f t="shared" si="47"/>
        <v>2025</v>
      </c>
      <c r="E355" s="3">
        <v>45715</v>
      </c>
      <c r="F355">
        <f t="shared" si="45"/>
        <v>6</v>
      </c>
      <c r="G355" t="s">
        <v>1162</v>
      </c>
      <c r="H355" t="s">
        <v>62</v>
      </c>
      <c r="I355" t="s">
        <v>24</v>
      </c>
      <c r="J355" t="s">
        <v>25</v>
      </c>
      <c r="K355" t="s">
        <v>26</v>
      </c>
      <c r="L355" t="s">
        <v>27</v>
      </c>
      <c r="M355" t="s">
        <v>28</v>
      </c>
      <c r="N355" t="s">
        <v>48</v>
      </c>
      <c r="O355" t="s">
        <v>1163</v>
      </c>
      <c r="P355" t="s">
        <v>44</v>
      </c>
      <c r="Q355">
        <v>9</v>
      </c>
      <c r="R355">
        <v>1431.67</v>
      </c>
      <c r="S355" s="6">
        <v>0.2</v>
      </c>
      <c r="T355" s="6">
        <f t="shared" si="48"/>
        <v>0.2</v>
      </c>
      <c r="U355">
        <v>10308.02</v>
      </c>
      <c r="V355">
        <f t="shared" si="49"/>
        <v>10308.024000000001</v>
      </c>
      <c r="W355" s="6">
        <f t="shared" si="50"/>
        <v>4.0000000008149073E-3</v>
      </c>
      <c r="X355">
        <v>5822.31</v>
      </c>
      <c r="Y355">
        <v>4485.71</v>
      </c>
      <c r="Z355">
        <f t="shared" si="51"/>
        <v>4485.7140000000009</v>
      </c>
      <c r="AA355" s="6">
        <f t="shared" si="52"/>
        <v>4.0000000008149073E-3</v>
      </c>
      <c r="AB355">
        <f t="shared" si="53"/>
        <v>0.4351672056642476</v>
      </c>
      <c r="AC355" t="s">
        <v>32</v>
      </c>
      <c r="AD355" t="s">
        <v>33</v>
      </c>
      <c r="AE355" t="s">
        <v>2828</v>
      </c>
    </row>
    <row r="356" spans="1:32">
      <c r="A356" t="s">
        <v>1164</v>
      </c>
      <c r="B356" s="3">
        <v>45653</v>
      </c>
      <c r="C356" t="str">
        <f t="shared" si="46"/>
        <v>December</v>
      </c>
      <c r="D356">
        <f t="shared" si="47"/>
        <v>2024</v>
      </c>
      <c r="E356" s="3">
        <v>45657</v>
      </c>
      <c r="F356">
        <f t="shared" si="45"/>
        <v>4</v>
      </c>
      <c r="G356" t="s">
        <v>1165</v>
      </c>
      <c r="H356" t="s">
        <v>264</v>
      </c>
      <c r="I356" t="s">
        <v>90</v>
      </c>
      <c r="J356" t="s">
        <v>25</v>
      </c>
      <c r="K356" t="s">
        <v>122</v>
      </c>
      <c r="L356" t="s">
        <v>123</v>
      </c>
      <c r="M356" t="s">
        <v>41</v>
      </c>
      <c r="N356" t="s">
        <v>57</v>
      </c>
      <c r="O356" t="s">
        <v>1166</v>
      </c>
      <c r="P356" t="s">
        <v>59</v>
      </c>
      <c r="Q356">
        <v>6</v>
      </c>
      <c r="R356">
        <v>3346.78</v>
      </c>
      <c r="S356" s="6">
        <v>-0.06</v>
      </c>
      <c r="T356" s="6">
        <f t="shared" si="48"/>
        <v>0.06</v>
      </c>
      <c r="U356">
        <v>20080.68</v>
      </c>
      <c r="V356">
        <f t="shared" si="49"/>
        <v>18875.839199999999</v>
      </c>
      <c r="W356" s="6">
        <f t="shared" si="50"/>
        <v>-1204.8408000000018</v>
      </c>
      <c r="X356">
        <v>12908.84</v>
      </c>
      <c r="Y356">
        <v>7171.84</v>
      </c>
      <c r="Z356">
        <f t="shared" si="51"/>
        <v>5966.9991999999984</v>
      </c>
      <c r="AA356" s="6">
        <f t="shared" si="52"/>
        <v>-1204.8408000000018</v>
      </c>
      <c r="AB356">
        <f t="shared" si="53"/>
        <v>0.31611835303195412</v>
      </c>
      <c r="AC356" t="s">
        <v>111</v>
      </c>
      <c r="AD356" t="s">
        <v>68</v>
      </c>
      <c r="AE356" t="s">
        <v>2826</v>
      </c>
      <c r="AF356" s="10" t="s">
        <v>2805</v>
      </c>
    </row>
    <row r="357" spans="1:32">
      <c r="A357" t="s">
        <v>1167</v>
      </c>
      <c r="B357" s="3">
        <v>45631</v>
      </c>
      <c r="C357" t="str">
        <f t="shared" si="46"/>
        <v>December</v>
      </c>
      <c r="D357">
        <f t="shared" si="47"/>
        <v>2024</v>
      </c>
      <c r="E357" s="3">
        <v>45540</v>
      </c>
      <c r="F357">
        <f t="shared" si="45"/>
        <v>-91</v>
      </c>
      <c r="G357" t="s">
        <v>1168</v>
      </c>
      <c r="H357" t="s">
        <v>114</v>
      </c>
      <c r="I357" t="s">
        <v>90</v>
      </c>
      <c r="J357" t="s">
        <v>63</v>
      </c>
      <c r="K357" t="s">
        <v>26</v>
      </c>
      <c r="L357" t="s">
        <v>109</v>
      </c>
      <c r="M357" t="s">
        <v>41</v>
      </c>
      <c r="N357" t="s">
        <v>42</v>
      </c>
      <c r="O357" t="s">
        <v>1169</v>
      </c>
      <c r="P357" t="s">
        <v>59</v>
      </c>
      <c r="Q357">
        <v>5</v>
      </c>
      <c r="R357">
        <v>3203.48</v>
      </c>
      <c r="S357" s="6">
        <v>0</v>
      </c>
      <c r="T357" s="6">
        <f t="shared" si="48"/>
        <v>0</v>
      </c>
      <c r="U357">
        <v>16017.4</v>
      </c>
      <c r="V357">
        <f t="shared" si="49"/>
        <v>16017.4</v>
      </c>
      <c r="W357" s="6">
        <f t="shared" si="50"/>
        <v>0</v>
      </c>
      <c r="X357">
        <v>9557.7999999999993</v>
      </c>
      <c r="Y357">
        <v>6459.6</v>
      </c>
      <c r="Z357">
        <f t="shared" si="51"/>
        <v>6459.6</v>
      </c>
      <c r="AA357" s="6">
        <f t="shared" si="52"/>
        <v>0</v>
      </c>
      <c r="AB357">
        <f t="shared" si="53"/>
        <v>0.40328642601171227</v>
      </c>
      <c r="AC357" t="s">
        <v>111</v>
      </c>
      <c r="AD357" t="s">
        <v>68</v>
      </c>
      <c r="AE357" t="s">
        <v>2826</v>
      </c>
      <c r="AF357" s="10" t="s">
        <v>2806</v>
      </c>
    </row>
    <row r="358" spans="1:32">
      <c r="A358" t="s">
        <v>1170</v>
      </c>
      <c r="B358" s="3">
        <v>45835</v>
      </c>
      <c r="C358" t="str">
        <f t="shared" si="46"/>
        <v>June</v>
      </c>
      <c r="D358">
        <f t="shared" si="47"/>
        <v>2025</v>
      </c>
      <c r="E358" s="3">
        <v>45837</v>
      </c>
      <c r="F358">
        <f t="shared" si="45"/>
        <v>2</v>
      </c>
      <c r="G358" t="s">
        <v>1171</v>
      </c>
      <c r="H358" t="s">
        <v>141</v>
      </c>
      <c r="I358" t="s">
        <v>95</v>
      </c>
      <c r="J358" t="s">
        <v>54</v>
      </c>
      <c r="K358" t="s">
        <v>55</v>
      </c>
      <c r="L358" t="s">
        <v>56</v>
      </c>
      <c r="M358" t="s">
        <v>41</v>
      </c>
      <c r="N358" t="s">
        <v>66</v>
      </c>
      <c r="O358" t="s">
        <v>1172</v>
      </c>
      <c r="P358" t="s">
        <v>50</v>
      </c>
      <c r="Q358">
        <v>5</v>
      </c>
      <c r="R358">
        <v>621.70000000000005</v>
      </c>
      <c r="S358" s="6">
        <v>0.2</v>
      </c>
      <c r="T358" s="6">
        <f t="shared" si="48"/>
        <v>0.2</v>
      </c>
      <c r="U358">
        <v>2486.8000000000002</v>
      </c>
      <c r="V358">
        <f t="shared" si="49"/>
        <v>2486.8000000000002</v>
      </c>
      <c r="W358" s="6">
        <f t="shared" si="50"/>
        <v>0</v>
      </c>
      <c r="X358">
        <v>2131.73</v>
      </c>
      <c r="Y358">
        <v>355.07</v>
      </c>
      <c r="Z358">
        <f t="shared" si="51"/>
        <v>355.07000000000016</v>
      </c>
      <c r="AA358" s="6">
        <f t="shared" si="52"/>
        <v>0</v>
      </c>
      <c r="AB358">
        <f t="shared" si="53"/>
        <v>0.1427818883705968</v>
      </c>
      <c r="AC358" t="s">
        <v>111</v>
      </c>
      <c r="AD358" t="s">
        <v>103</v>
      </c>
      <c r="AE358" t="s">
        <v>2827</v>
      </c>
      <c r="AF358" t="s">
        <v>2814</v>
      </c>
    </row>
    <row r="359" spans="1:32">
      <c r="A359" t="s">
        <v>1173</v>
      </c>
      <c r="B359" s="3">
        <v>45678</v>
      </c>
      <c r="C359" t="str">
        <f t="shared" si="46"/>
        <v>January</v>
      </c>
      <c r="D359">
        <f t="shared" si="47"/>
        <v>2025</v>
      </c>
      <c r="E359" s="3">
        <v>45686</v>
      </c>
      <c r="F359">
        <f t="shared" si="45"/>
        <v>8</v>
      </c>
      <c r="G359" t="s">
        <v>1174</v>
      </c>
      <c r="H359" t="s">
        <v>36</v>
      </c>
      <c r="I359" t="s">
        <v>95</v>
      </c>
      <c r="J359" t="s">
        <v>54</v>
      </c>
      <c r="K359" t="s">
        <v>84</v>
      </c>
      <c r="L359" t="s">
        <v>85</v>
      </c>
      <c r="M359" t="s">
        <v>74</v>
      </c>
      <c r="N359" t="s">
        <v>274</v>
      </c>
      <c r="O359" t="s">
        <v>1175</v>
      </c>
      <c r="P359" t="s">
        <v>31</v>
      </c>
      <c r="Q359">
        <v>8</v>
      </c>
      <c r="R359">
        <v>546.13</v>
      </c>
      <c r="S359" s="6">
        <v>0</v>
      </c>
      <c r="T359" s="6">
        <f t="shared" si="48"/>
        <v>0</v>
      </c>
      <c r="U359">
        <v>4369.04</v>
      </c>
      <c r="V359">
        <f t="shared" si="49"/>
        <v>4369.04</v>
      </c>
      <c r="W359" s="6">
        <f t="shared" si="50"/>
        <v>0</v>
      </c>
      <c r="X359">
        <v>3716.88</v>
      </c>
      <c r="Y359">
        <v>652.16</v>
      </c>
      <c r="Z359">
        <f t="shared" si="51"/>
        <v>652.15999999999985</v>
      </c>
      <c r="AA359" s="6">
        <f t="shared" si="52"/>
        <v>0</v>
      </c>
      <c r="AB359">
        <f t="shared" si="53"/>
        <v>0.14926848918755603</v>
      </c>
      <c r="AC359" t="s">
        <v>32</v>
      </c>
      <c r="AD359" t="s">
        <v>68</v>
      </c>
      <c r="AE359" t="s">
        <v>2827</v>
      </c>
      <c r="AF359" t="s">
        <v>2795</v>
      </c>
    </row>
    <row r="360" spans="1:32">
      <c r="A360" t="s">
        <v>1176</v>
      </c>
      <c r="B360" s="3">
        <v>45878</v>
      </c>
      <c r="C360" t="str">
        <f t="shared" si="46"/>
        <v>August</v>
      </c>
      <c r="D360">
        <f t="shared" si="47"/>
        <v>2025</v>
      </c>
      <c r="E360" s="3">
        <v>45846</v>
      </c>
      <c r="F360">
        <f t="shared" si="45"/>
        <v>-32</v>
      </c>
      <c r="G360" t="s">
        <v>1177</v>
      </c>
      <c r="H360" t="s">
        <v>71</v>
      </c>
      <c r="I360" t="s">
        <v>95</v>
      </c>
      <c r="J360" t="s">
        <v>63</v>
      </c>
      <c r="K360" t="s">
        <v>180</v>
      </c>
      <c r="L360" t="s">
        <v>181</v>
      </c>
      <c r="M360" t="s">
        <v>41</v>
      </c>
      <c r="N360" t="s">
        <v>158</v>
      </c>
      <c r="O360" t="s">
        <v>1178</v>
      </c>
      <c r="P360" t="s">
        <v>31</v>
      </c>
      <c r="Q360">
        <v>5</v>
      </c>
      <c r="R360">
        <v>1253.92</v>
      </c>
      <c r="S360" s="6">
        <v>0.05</v>
      </c>
      <c r="T360" s="6">
        <f t="shared" si="48"/>
        <v>0.05</v>
      </c>
      <c r="U360">
        <v>5956.12</v>
      </c>
      <c r="V360">
        <f t="shared" si="49"/>
        <v>5956.12</v>
      </c>
      <c r="W360" s="6">
        <f t="shared" si="50"/>
        <v>0</v>
      </c>
      <c r="X360">
        <v>4379.18</v>
      </c>
      <c r="Y360">
        <v>1576.94</v>
      </c>
      <c r="Z360">
        <f t="shared" si="51"/>
        <v>1576.9399999999996</v>
      </c>
      <c r="AA360" s="6">
        <f t="shared" si="52"/>
        <v>0</v>
      </c>
      <c r="AB360">
        <f t="shared" si="53"/>
        <v>0.26475960860425907</v>
      </c>
      <c r="AC360" t="s">
        <v>111</v>
      </c>
      <c r="AD360" t="s">
        <v>103</v>
      </c>
      <c r="AE360" t="s">
        <v>2826</v>
      </c>
      <c r="AF360" s="10" t="s">
        <v>2815</v>
      </c>
    </row>
    <row r="361" spans="1:32">
      <c r="A361" t="s">
        <v>1179</v>
      </c>
      <c r="B361" s="3">
        <v>45525</v>
      </c>
      <c r="C361" t="str">
        <f t="shared" si="46"/>
        <v>August</v>
      </c>
      <c r="D361">
        <f t="shared" si="47"/>
        <v>2024</v>
      </c>
      <c r="E361" s="3">
        <v>45526</v>
      </c>
      <c r="F361">
        <f t="shared" si="45"/>
        <v>1</v>
      </c>
      <c r="G361" t="s">
        <v>1180</v>
      </c>
      <c r="H361" t="s">
        <v>47</v>
      </c>
      <c r="I361" t="s">
        <v>24</v>
      </c>
      <c r="J361" t="s">
        <v>54</v>
      </c>
      <c r="K361" t="s">
        <v>247</v>
      </c>
      <c r="L361" t="s">
        <v>248</v>
      </c>
      <c r="M361" t="s">
        <v>74</v>
      </c>
      <c r="N361" t="s">
        <v>171</v>
      </c>
      <c r="O361" t="s">
        <v>1181</v>
      </c>
      <c r="P361" t="s">
        <v>44</v>
      </c>
      <c r="Q361">
        <v>9</v>
      </c>
      <c r="R361">
        <v>616.96</v>
      </c>
      <c r="S361" s="6">
        <v>0.1</v>
      </c>
      <c r="T361" s="6">
        <f t="shared" si="48"/>
        <v>0.1</v>
      </c>
      <c r="U361">
        <v>4997.38</v>
      </c>
      <c r="V361">
        <f t="shared" si="49"/>
        <v>4997.3760000000002</v>
      </c>
      <c r="W361" s="6">
        <f t="shared" si="50"/>
        <v>-3.9999999999054126E-3</v>
      </c>
      <c r="X361">
        <v>2971.39</v>
      </c>
      <c r="Y361">
        <v>2025.99</v>
      </c>
      <c r="Z361">
        <f t="shared" si="51"/>
        <v>2025.9860000000003</v>
      </c>
      <c r="AA361" s="6">
        <f t="shared" si="52"/>
        <v>-3.9999999996780389E-3</v>
      </c>
      <c r="AB361">
        <f t="shared" si="53"/>
        <v>0.40540995914656014</v>
      </c>
      <c r="AC361" t="s">
        <v>32</v>
      </c>
      <c r="AD361" t="s">
        <v>33</v>
      </c>
      <c r="AE361" t="s">
        <v>2828</v>
      </c>
    </row>
    <row r="362" spans="1:32">
      <c r="A362" t="s">
        <v>1182</v>
      </c>
      <c r="B362" s="3">
        <v>45460</v>
      </c>
      <c r="C362" t="str">
        <f t="shared" si="46"/>
        <v>June</v>
      </c>
      <c r="D362">
        <f t="shared" si="47"/>
        <v>2024</v>
      </c>
      <c r="E362" s="3">
        <v>45463</v>
      </c>
      <c r="F362">
        <f t="shared" si="45"/>
        <v>3</v>
      </c>
      <c r="G362" t="s">
        <v>1183</v>
      </c>
      <c r="H362" t="s">
        <v>132</v>
      </c>
      <c r="I362" t="s">
        <v>37</v>
      </c>
      <c r="J362" t="s">
        <v>63</v>
      </c>
      <c r="K362" t="s">
        <v>180</v>
      </c>
      <c r="L362" t="s">
        <v>181</v>
      </c>
      <c r="M362" t="s">
        <v>41</v>
      </c>
      <c r="N362" t="s">
        <v>57</v>
      </c>
      <c r="O362" t="s">
        <v>1184</v>
      </c>
      <c r="P362" t="s">
        <v>59</v>
      </c>
      <c r="Q362">
        <v>7</v>
      </c>
      <c r="R362">
        <v>3155.25</v>
      </c>
      <c r="S362" s="6">
        <v>0.2</v>
      </c>
      <c r="T362" s="6">
        <f t="shared" si="48"/>
        <v>0.2</v>
      </c>
      <c r="U362">
        <v>17669.400000000001</v>
      </c>
      <c r="V362">
        <f t="shared" si="49"/>
        <v>17669.400000000001</v>
      </c>
      <c r="W362" s="6">
        <f t="shared" si="50"/>
        <v>0</v>
      </c>
      <c r="X362">
        <v>13718.77</v>
      </c>
      <c r="Y362">
        <v>3950.63</v>
      </c>
      <c r="Z362">
        <f t="shared" si="51"/>
        <v>3950.630000000001</v>
      </c>
      <c r="AA362" s="6">
        <f t="shared" si="52"/>
        <v>0</v>
      </c>
      <c r="AB362">
        <f t="shared" si="53"/>
        <v>0.2235859734908939</v>
      </c>
      <c r="AC362" t="s">
        <v>102</v>
      </c>
      <c r="AD362" t="s">
        <v>68</v>
      </c>
      <c r="AE362" t="s">
        <v>2827</v>
      </c>
      <c r="AF362" t="s">
        <v>2808</v>
      </c>
    </row>
    <row r="363" spans="1:32">
      <c r="A363" t="s">
        <v>1185</v>
      </c>
      <c r="B363" s="3">
        <v>45661</v>
      </c>
      <c r="C363" t="str">
        <f t="shared" si="46"/>
        <v>January</v>
      </c>
      <c r="D363">
        <f t="shared" si="47"/>
        <v>2025</v>
      </c>
      <c r="E363" s="3">
        <v>45692</v>
      </c>
      <c r="F363">
        <f t="shared" si="45"/>
        <v>31</v>
      </c>
      <c r="G363" t="s">
        <v>1186</v>
      </c>
      <c r="H363" t="s">
        <v>141</v>
      </c>
      <c r="I363" t="s">
        <v>90</v>
      </c>
      <c r="J363" t="s">
        <v>38</v>
      </c>
      <c r="K363" t="s">
        <v>39</v>
      </c>
      <c r="L363" t="s">
        <v>40</v>
      </c>
      <c r="M363" t="s">
        <v>41</v>
      </c>
      <c r="N363" t="s">
        <v>66</v>
      </c>
      <c r="O363" t="s">
        <v>1187</v>
      </c>
      <c r="P363" t="s">
        <v>31</v>
      </c>
      <c r="Q363">
        <v>9</v>
      </c>
      <c r="R363">
        <v>4165.58</v>
      </c>
      <c r="S363" s="6">
        <v>0.05</v>
      </c>
      <c r="T363" s="6">
        <f t="shared" si="48"/>
        <v>0.05</v>
      </c>
      <c r="U363">
        <v>35615.71</v>
      </c>
      <c r="V363">
        <f t="shared" si="49"/>
        <v>35615.709000000003</v>
      </c>
      <c r="W363" s="6">
        <f t="shared" si="50"/>
        <v>-9.9999999656574801E-4</v>
      </c>
      <c r="X363">
        <v>20389.71</v>
      </c>
      <c r="Y363">
        <v>15226</v>
      </c>
      <c r="Z363">
        <f t="shared" si="51"/>
        <v>15225.999000000003</v>
      </c>
      <c r="AA363" s="6">
        <f t="shared" si="52"/>
        <v>-9.9999999656574801E-4</v>
      </c>
      <c r="AB363">
        <f t="shared" si="53"/>
        <v>0.42750795723314122</v>
      </c>
      <c r="AC363" t="s">
        <v>111</v>
      </c>
      <c r="AD363" t="s">
        <v>103</v>
      </c>
      <c r="AE363" t="s">
        <v>2827</v>
      </c>
      <c r="AF363" t="s">
        <v>2814</v>
      </c>
    </row>
    <row r="364" spans="1:32">
      <c r="A364" t="s">
        <v>1188</v>
      </c>
      <c r="B364" s="3">
        <v>45527</v>
      </c>
      <c r="C364" t="str">
        <f t="shared" si="46"/>
        <v>August</v>
      </c>
      <c r="D364">
        <f t="shared" si="47"/>
        <v>2024</v>
      </c>
      <c r="E364" s="3">
        <v>45529</v>
      </c>
      <c r="F364">
        <f t="shared" si="45"/>
        <v>2</v>
      </c>
      <c r="G364" t="s">
        <v>1189</v>
      </c>
      <c r="H364" t="s">
        <v>71</v>
      </c>
      <c r="I364" t="s">
        <v>24</v>
      </c>
      <c r="J364" t="s">
        <v>63</v>
      </c>
      <c r="K364" t="s">
        <v>190</v>
      </c>
      <c r="L364" t="s">
        <v>191</v>
      </c>
      <c r="M364" t="s">
        <v>74</v>
      </c>
      <c r="N364" t="s">
        <v>274</v>
      </c>
      <c r="O364" t="s">
        <v>1190</v>
      </c>
      <c r="P364" t="s">
        <v>44</v>
      </c>
      <c r="Q364">
        <v>4</v>
      </c>
      <c r="R364">
        <v>491.16</v>
      </c>
      <c r="S364" s="6">
        <v>0.05</v>
      </c>
      <c r="T364" s="6">
        <f t="shared" si="48"/>
        <v>0.05</v>
      </c>
      <c r="U364">
        <v>1866.41</v>
      </c>
      <c r="V364">
        <f t="shared" si="49"/>
        <v>1866.4079999999999</v>
      </c>
      <c r="W364" s="6">
        <f t="shared" si="50"/>
        <v>-2.00000000018008E-3</v>
      </c>
      <c r="X364">
        <v>1576.49</v>
      </c>
      <c r="Y364">
        <v>289.92</v>
      </c>
      <c r="Z364">
        <f t="shared" si="51"/>
        <v>289.91799999999989</v>
      </c>
      <c r="AA364" s="6">
        <f t="shared" si="52"/>
        <v>-2.0000000001232365E-3</v>
      </c>
      <c r="AB364">
        <f t="shared" si="53"/>
        <v>0.15533473924243782</v>
      </c>
      <c r="AC364" t="s">
        <v>32</v>
      </c>
      <c r="AD364" t="s">
        <v>33</v>
      </c>
      <c r="AE364" t="s">
        <v>2828</v>
      </c>
    </row>
    <row r="365" spans="1:32">
      <c r="A365" t="s">
        <v>1191</v>
      </c>
      <c r="B365" s="3">
        <v>45845</v>
      </c>
      <c r="C365" t="str">
        <f t="shared" si="46"/>
        <v>July</v>
      </c>
      <c r="D365">
        <f t="shared" si="47"/>
        <v>2025</v>
      </c>
      <c r="E365" s="3">
        <v>45850</v>
      </c>
      <c r="F365">
        <f t="shared" si="45"/>
        <v>5</v>
      </c>
      <c r="G365" t="s">
        <v>1192</v>
      </c>
      <c r="H365" t="s">
        <v>162</v>
      </c>
      <c r="I365" t="s">
        <v>90</v>
      </c>
      <c r="J365" t="s">
        <v>38</v>
      </c>
      <c r="K365" t="s">
        <v>99</v>
      </c>
      <c r="L365" t="s">
        <v>100</v>
      </c>
      <c r="M365" t="s">
        <v>41</v>
      </c>
      <c r="N365" t="s">
        <v>42</v>
      </c>
      <c r="O365" t="s">
        <v>1193</v>
      </c>
      <c r="P365" t="s">
        <v>31</v>
      </c>
      <c r="Q365">
        <v>5</v>
      </c>
      <c r="R365">
        <v>1831.37</v>
      </c>
      <c r="S365" s="6">
        <v>0.25</v>
      </c>
      <c r="T365" s="6">
        <f t="shared" si="48"/>
        <v>0.25</v>
      </c>
      <c r="U365">
        <v>6867.64</v>
      </c>
      <c r="V365">
        <f t="shared" si="49"/>
        <v>6867.6374999999989</v>
      </c>
      <c r="W365" s="6">
        <f t="shared" si="50"/>
        <v>-2.5000000014188117E-3</v>
      </c>
      <c r="X365">
        <v>5205.3599999999997</v>
      </c>
      <c r="Y365">
        <v>1662.28</v>
      </c>
      <c r="Z365">
        <f t="shared" si="51"/>
        <v>1662.2774999999992</v>
      </c>
      <c r="AA365" s="6">
        <f t="shared" si="52"/>
        <v>-2.5000000007366907E-3</v>
      </c>
      <c r="AB365">
        <f t="shared" si="53"/>
        <v>0.24204502640100028</v>
      </c>
      <c r="AC365" t="s">
        <v>32</v>
      </c>
      <c r="AD365" t="s">
        <v>33</v>
      </c>
      <c r="AE365" t="s">
        <v>2828</v>
      </c>
    </row>
    <row r="366" spans="1:32">
      <c r="A366" t="s">
        <v>1194</v>
      </c>
      <c r="B366" s="3">
        <v>45737</v>
      </c>
      <c r="C366" t="str">
        <f t="shared" si="46"/>
        <v>March</v>
      </c>
      <c r="D366">
        <f t="shared" si="47"/>
        <v>2025</v>
      </c>
      <c r="E366" s="3">
        <v>45740</v>
      </c>
      <c r="F366">
        <f t="shared" si="45"/>
        <v>3</v>
      </c>
      <c r="G366" t="s">
        <v>1195</v>
      </c>
      <c r="H366" t="s">
        <v>128</v>
      </c>
      <c r="I366" t="s">
        <v>37</v>
      </c>
      <c r="J366" t="s">
        <v>54</v>
      </c>
      <c r="K366" t="s">
        <v>84</v>
      </c>
      <c r="L366" t="s">
        <v>85</v>
      </c>
      <c r="M366" t="s">
        <v>41</v>
      </c>
      <c r="N366" t="s">
        <v>66</v>
      </c>
      <c r="O366" t="s">
        <v>1196</v>
      </c>
      <c r="P366" t="s">
        <v>31</v>
      </c>
      <c r="Q366">
        <v>5</v>
      </c>
      <c r="R366">
        <v>1239.1500000000001</v>
      </c>
      <c r="S366" s="6">
        <v>0</v>
      </c>
      <c r="T366" s="6">
        <f t="shared" si="48"/>
        <v>0</v>
      </c>
      <c r="U366">
        <v>6195.75</v>
      </c>
      <c r="V366">
        <f t="shared" si="49"/>
        <v>6195.75</v>
      </c>
      <c r="W366" s="6">
        <f t="shared" si="50"/>
        <v>0</v>
      </c>
      <c r="X366">
        <v>3967.02</v>
      </c>
      <c r="Y366">
        <v>2228.73</v>
      </c>
      <c r="Z366">
        <f t="shared" si="51"/>
        <v>2228.73</v>
      </c>
      <c r="AA366" s="6">
        <f t="shared" si="52"/>
        <v>0</v>
      </c>
      <c r="AB366">
        <f t="shared" si="53"/>
        <v>0.35971916232901585</v>
      </c>
      <c r="AC366" t="s">
        <v>32</v>
      </c>
      <c r="AD366" t="s">
        <v>33</v>
      </c>
      <c r="AE366" t="s">
        <v>2828</v>
      </c>
    </row>
    <row r="367" spans="1:32">
      <c r="A367" t="s">
        <v>1197</v>
      </c>
      <c r="B367" s="3">
        <v>45458</v>
      </c>
      <c r="C367" t="str">
        <f t="shared" si="46"/>
        <v>June</v>
      </c>
      <c r="D367">
        <f t="shared" si="47"/>
        <v>2024</v>
      </c>
      <c r="E367" s="3">
        <v>45464</v>
      </c>
      <c r="F367">
        <f t="shared" si="45"/>
        <v>6</v>
      </c>
      <c r="G367" t="s">
        <v>1198</v>
      </c>
      <c r="H367" t="s">
        <v>89</v>
      </c>
      <c r="I367" t="s">
        <v>90</v>
      </c>
      <c r="J367" t="s">
        <v>63</v>
      </c>
      <c r="K367" t="s">
        <v>190</v>
      </c>
      <c r="L367" t="s">
        <v>191</v>
      </c>
      <c r="M367" t="s">
        <v>74</v>
      </c>
      <c r="N367" t="s">
        <v>75</v>
      </c>
      <c r="O367" t="s">
        <v>1199</v>
      </c>
      <c r="P367" t="s">
        <v>50</v>
      </c>
      <c r="Q367">
        <v>8</v>
      </c>
      <c r="R367">
        <v>1706.4</v>
      </c>
      <c r="S367" s="6">
        <v>0</v>
      </c>
      <c r="T367" s="6">
        <f t="shared" si="48"/>
        <v>0</v>
      </c>
      <c r="U367">
        <v>12968.64</v>
      </c>
      <c r="V367">
        <f t="shared" si="49"/>
        <v>13651.2</v>
      </c>
      <c r="W367" s="6">
        <f t="shared" si="50"/>
        <v>682.56000000000131</v>
      </c>
      <c r="X367">
        <v>10119.61</v>
      </c>
      <c r="Y367">
        <v>2849.03</v>
      </c>
      <c r="Z367">
        <f t="shared" si="51"/>
        <v>3531.59</v>
      </c>
      <c r="AA367" s="6">
        <f t="shared" si="52"/>
        <v>682.56</v>
      </c>
      <c r="AB367">
        <f t="shared" si="53"/>
        <v>0.2587017991092358</v>
      </c>
      <c r="AC367" t="s">
        <v>32</v>
      </c>
      <c r="AD367" t="s">
        <v>33</v>
      </c>
      <c r="AE367" t="s">
        <v>2828</v>
      </c>
    </row>
    <row r="368" spans="1:32">
      <c r="A368" t="s">
        <v>1200</v>
      </c>
      <c r="B368" s="3">
        <v>45673</v>
      </c>
      <c r="C368" t="str">
        <f t="shared" si="46"/>
        <v>January</v>
      </c>
      <c r="D368">
        <f t="shared" si="47"/>
        <v>2025</v>
      </c>
      <c r="E368" s="3">
        <v>45679</v>
      </c>
      <c r="F368">
        <f t="shared" si="45"/>
        <v>6</v>
      </c>
      <c r="G368" t="s">
        <v>1201</v>
      </c>
      <c r="H368" t="s">
        <v>132</v>
      </c>
      <c r="I368" t="s">
        <v>90</v>
      </c>
      <c r="J368" t="s">
        <v>25</v>
      </c>
      <c r="K368" t="s">
        <v>26</v>
      </c>
      <c r="L368" t="s">
        <v>27</v>
      </c>
      <c r="M368" t="s">
        <v>41</v>
      </c>
      <c r="N368" t="s">
        <v>42</v>
      </c>
      <c r="O368" t="s">
        <v>1202</v>
      </c>
      <c r="P368" t="s">
        <v>44</v>
      </c>
      <c r="Q368">
        <v>2</v>
      </c>
      <c r="R368">
        <v>4418.28</v>
      </c>
      <c r="S368" s="6">
        <v>0</v>
      </c>
      <c r="T368" s="6">
        <f t="shared" si="48"/>
        <v>0</v>
      </c>
      <c r="U368">
        <v>8836.56</v>
      </c>
      <c r="V368">
        <f t="shared" si="49"/>
        <v>8836.56</v>
      </c>
      <c r="W368" s="6">
        <f t="shared" si="50"/>
        <v>0</v>
      </c>
      <c r="X368">
        <v>5867.75</v>
      </c>
      <c r="Y368">
        <v>2968.81</v>
      </c>
      <c r="Z368">
        <f t="shared" si="51"/>
        <v>2968.8099999999995</v>
      </c>
      <c r="AA368" s="6">
        <f t="shared" si="52"/>
        <v>0</v>
      </c>
      <c r="AB368">
        <f t="shared" si="53"/>
        <v>0.33596897435201023</v>
      </c>
      <c r="AC368" t="s">
        <v>32</v>
      </c>
      <c r="AD368" t="s">
        <v>33</v>
      </c>
      <c r="AE368" t="s">
        <v>2828</v>
      </c>
    </row>
    <row r="369" spans="1:32">
      <c r="A369" t="s">
        <v>1203</v>
      </c>
      <c r="B369" s="3">
        <v>45366</v>
      </c>
      <c r="C369" t="str">
        <f t="shared" si="46"/>
        <v>March</v>
      </c>
      <c r="D369">
        <f t="shared" si="47"/>
        <v>2024</v>
      </c>
      <c r="E369" s="3">
        <v>45367</v>
      </c>
      <c r="F369">
        <f t="shared" si="45"/>
        <v>1</v>
      </c>
      <c r="G369" t="s">
        <v>1204</v>
      </c>
      <c r="H369" t="s">
        <v>141</v>
      </c>
      <c r="I369" t="s">
        <v>24</v>
      </c>
      <c r="J369" t="s">
        <v>25</v>
      </c>
      <c r="K369" t="s">
        <v>350</v>
      </c>
      <c r="L369" t="s">
        <v>351</v>
      </c>
      <c r="M369" t="s">
        <v>28</v>
      </c>
      <c r="N369" t="s">
        <v>48</v>
      </c>
      <c r="O369" t="s">
        <v>1205</v>
      </c>
      <c r="P369" t="s">
        <v>59</v>
      </c>
      <c r="Q369">
        <v>6</v>
      </c>
      <c r="R369">
        <v>3815.09</v>
      </c>
      <c r="S369" s="6">
        <v>0.15</v>
      </c>
      <c r="T369" s="6">
        <f t="shared" si="48"/>
        <v>0.15</v>
      </c>
      <c r="U369">
        <v>19456.96</v>
      </c>
      <c r="V369">
        <f t="shared" si="49"/>
        <v>19456.958999999999</v>
      </c>
      <c r="W369" s="6">
        <f t="shared" si="50"/>
        <v>-1.0000000002037268E-3</v>
      </c>
      <c r="X369">
        <v>14520.06</v>
      </c>
      <c r="Y369">
        <v>4936.8999999999996</v>
      </c>
      <c r="Z369">
        <f t="shared" si="51"/>
        <v>4936.8989999999994</v>
      </c>
      <c r="AA369" s="6">
        <f t="shared" si="52"/>
        <v>-1.0000000002037268E-3</v>
      </c>
      <c r="AB369">
        <f t="shared" si="53"/>
        <v>0.25373435797443988</v>
      </c>
      <c r="AC369" t="s">
        <v>155</v>
      </c>
      <c r="AD369" t="s">
        <v>68</v>
      </c>
      <c r="AE369" t="s">
        <v>2827</v>
      </c>
      <c r="AF369" s="10" t="s">
        <v>2796</v>
      </c>
    </row>
    <row r="370" spans="1:32">
      <c r="A370" t="s">
        <v>1206</v>
      </c>
      <c r="B370" s="3">
        <v>45815</v>
      </c>
      <c r="C370" t="str">
        <f t="shared" si="46"/>
        <v>June</v>
      </c>
      <c r="D370">
        <f t="shared" si="47"/>
        <v>2025</v>
      </c>
      <c r="E370" s="3">
        <v>45815</v>
      </c>
      <c r="F370">
        <f t="shared" si="45"/>
        <v>0</v>
      </c>
      <c r="G370" t="s">
        <v>1207</v>
      </c>
      <c r="H370" t="s">
        <v>128</v>
      </c>
      <c r="I370" t="s">
        <v>95</v>
      </c>
      <c r="J370" t="s">
        <v>25</v>
      </c>
      <c r="K370" t="s">
        <v>26</v>
      </c>
      <c r="L370" t="s">
        <v>27</v>
      </c>
      <c r="M370" t="s">
        <v>74</v>
      </c>
      <c r="N370" t="s">
        <v>75</v>
      </c>
      <c r="O370" t="s">
        <v>1208</v>
      </c>
      <c r="P370" t="s">
        <v>44</v>
      </c>
      <c r="Q370">
        <v>9</v>
      </c>
      <c r="R370">
        <v>243.19</v>
      </c>
      <c r="S370" s="6">
        <v>0.05</v>
      </c>
      <c r="T370" s="6">
        <f t="shared" si="48"/>
        <v>0.05</v>
      </c>
      <c r="U370">
        <v>2079.27</v>
      </c>
      <c r="V370">
        <f t="shared" si="49"/>
        <v>2079.2745</v>
      </c>
      <c r="W370" s="6">
        <f t="shared" si="50"/>
        <v>4.500000000007276E-3</v>
      </c>
      <c r="X370">
        <v>1512.17</v>
      </c>
      <c r="Y370">
        <v>567.1</v>
      </c>
      <c r="Z370">
        <f t="shared" si="51"/>
        <v>567.10449999999992</v>
      </c>
      <c r="AA370" s="6">
        <f t="shared" si="52"/>
        <v>4.4999999998935891E-3</v>
      </c>
      <c r="AB370">
        <f t="shared" si="53"/>
        <v>0.27274152595051782</v>
      </c>
      <c r="AC370" t="s">
        <v>102</v>
      </c>
      <c r="AD370" t="s">
        <v>103</v>
      </c>
      <c r="AE370" t="s">
        <v>2827</v>
      </c>
      <c r="AF370" t="s">
        <v>2807</v>
      </c>
    </row>
    <row r="371" spans="1:32">
      <c r="A371" t="s">
        <v>1209</v>
      </c>
      <c r="B371" s="3">
        <v>45680</v>
      </c>
      <c r="C371" t="str">
        <f t="shared" si="46"/>
        <v>January</v>
      </c>
      <c r="D371">
        <f t="shared" si="47"/>
        <v>2025</v>
      </c>
      <c r="E371" s="3">
        <v>45687</v>
      </c>
      <c r="F371">
        <f t="shared" si="45"/>
        <v>7</v>
      </c>
      <c r="G371" t="s">
        <v>1210</v>
      </c>
      <c r="H371" t="s">
        <v>114</v>
      </c>
      <c r="I371" t="s">
        <v>24</v>
      </c>
      <c r="J371" t="s">
        <v>25</v>
      </c>
      <c r="K371" t="s">
        <v>350</v>
      </c>
      <c r="L371" t="s">
        <v>351</v>
      </c>
      <c r="M371" t="s">
        <v>28</v>
      </c>
      <c r="N371" t="s">
        <v>91</v>
      </c>
      <c r="O371" t="s">
        <v>1211</v>
      </c>
      <c r="P371" t="s">
        <v>59</v>
      </c>
      <c r="Q371">
        <v>9</v>
      </c>
      <c r="R371">
        <v>1169.3699999999999</v>
      </c>
      <c r="S371" s="6">
        <v>0.15</v>
      </c>
      <c r="T371" s="6">
        <f t="shared" si="48"/>
        <v>0.15</v>
      </c>
      <c r="U371">
        <v>8945.68</v>
      </c>
      <c r="V371">
        <f t="shared" si="49"/>
        <v>8945.6804999999986</v>
      </c>
      <c r="W371" s="6">
        <f t="shared" si="50"/>
        <v>4.99999998282874E-4</v>
      </c>
      <c r="X371">
        <v>6740.35</v>
      </c>
      <c r="Y371">
        <v>2205.33</v>
      </c>
      <c r="Z371">
        <f t="shared" si="51"/>
        <v>2205.3304999999982</v>
      </c>
      <c r="AA371" s="6">
        <f t="shared" si="52"/>
        <v>4.99999998282874E-4</v>
      </c>
      <c r="AB371">
        <f t="shared" si="53"/>
        <v>0.24652462157574245</v>
      </c>
      <c r="AC371" t="s">
        <v>32</v>
      </c>
      <c r="AD371" t="s">
        <v>33</v>
      </c>
      <c r="AE371" t="s">
        <v>2828</v>
      </c>
    </row>
    <row r="372" spans="1:32">
      <c r="A372" t="s">
        <v>1212</v>
      </c>
      <c r="B372" s="3">
        <v>45519</v>
      </c>
      <c r="C372" t="str">
        <f t="shared" si="46"/>
        <v>August</v>
      </c>
      <c r="D372">
        <f t="shared" si="47"/>
        <v>2024</v>
      </c>
      <c r="E372" s="3">
        <v>45525</v>
      </c>
      <c r="F372">
        <f t="shared" si="45"/>
        <v>6</v>
      </c>
      <c r="G372" t="s">
        <v>1213</v>
      </c>
      <c r="H372" t="s">
        <v>62</v>
      </c>
      <c r="I372" t="s">
        <v>37</v>
      </c>
      <c r="J372" t="s">
        <v>63</v>
      </c>
      <c r="K372" t="s">
        <v>26</v>
      </c>
      <c r="L372" t="s">
        <v>109</v>
      </c>
      <c r="M372" t="s">
        <v>74</v>
      </c>
      <c r="N372" t="s">
        <v>80</v>
      </c>
      <c r="O372" t="s">
        <v>1214</v>
      </c>
      <c r="P372" t="s">
        <v>50</v>
      </c>
      <c r="Q372">
        <v>7</v>
      </c>
      <c r="R372">
        <v>2333.81</v>
      </c>
      <c r="S372" s="6">
        <v>0.2</v>
      </c>
      <c r="T372" s="6">
        <f t="shared" si="48"/>
        <v>0.2</v>
      </c>
      <c r="U372">
        <v>13069.34</v>
      </c>
      <c r="V372">
        <f t="shared" si="49"/>
        <v>13069.336000000001</v>
      </c>
      <c r="W372" s="6">
        <f t="shared" si="50"/>
        <v>-3.9999999989959178E-3</v>
      </c>
      <c r="X372">
        <v>8768.59</v>
      </c>
      <c r="Y372">
        <v>4300.75</v>
      </c>
      <c r="Z372">
        <f t="shared" si="51"/>
        <v>4300.746000000001</v>
      </c>
      <c r="AA372" s="6">
        <f t="shared" si="52"/>
        <v>-3.9999999989959178E-3</v>
      </c>
      <c r="AB372">
        <f t="shared" si="53"/>
        <v>0.32907149988339124</v>
      </c>
      <c r="AC372" t="s">
        <v>32</v>
      </c>
      <c r="AD372" t="s">
        <v>33</v>
      </c>
      <c r="AE372" t="s">
        <v>2828</v>
      </c>
    </row>
    <row r="373" spans="1:32">
      <c r="A373" t="s">
        <v>1215</v>
      </c>
      <c r="B373" s="3">
        <v>45313</v>
      </c>
      <c r="C373" t="str">
        <f t="shared" si="46"/>
        <v>January</v>
      </c>
      <c r="D373">
        <f t="shared" si="47"/>
        <v>2024</v>
      </c>
      <c r="E373" s="3">
        <v>45315</v>
      </c>
      <c r="F373">
        <f t="shared" si="45"/>
        <v>2</v>
      </c>
      <c r="G373" t="s">
        <v>1216</v>
      </c>
      <c r="H373" t="s">
        <v>162</v>
      </c>
      <c r="I373" t="s">
        <v>95</v>
      </c>
      <c r="J373" t="s">
        <v>63</v>
      </c>
      <c r="K373" t="s">
        <v>64</v>
      </c>
      <c r="L373" t="s">
        <v>65</v>
      </c>
      <c r="M373" t="s">
        <v>28</v>
      </c>
      <c r="N373" t="s">
        <v>48</v>
      </c>
      <c r="O373" t="s">
        <v>1217</v>
      </c>
      <c r="P373" t="s">
        <v>59</v>
      </c>
      <c r="Q373">
        <v>6</v>
      </c>
      <c r="R373">
        <v>1026.06</v>
      </c>
      <c r="S373" s="6">
        <v>0</v>
      </c>
      <c r="T373" s="6">
        <f t="shared" si="48"/>
        <v>0</v>
      </c>
      <c r="U373">
        <v>4617.2700000000004</v>
      </c>
      <c r="V373">
        <f t="shared" si="49"/>
        <v>6156.36</v>
      </c>
      <c r="W373" s="6">
        <f t="shared" si="50"/>
        <v>1539.0899999999992</v>
      </c>
      <c r="X373">
        <v>2981.94</v>
      </c>
      <c r="Y373">
        <v>1635.33</v>
      </c>
      <c r="Z373">
        <f t="shared" si="51"/>
        <v>3174.4199999999996</v>
      </c>
      <c r="AA373" s="6">
        <f t="shared" si="52"/>
        <v>1539.0899999999997</v>
      </c>
      <c r="AB373">
        <f t="shared" si="53"/>
        <v>0.51563261407714944</v>
      </c>
      <c r="AC373" t="s">
        <v>102</v>
      </c>
      <c r="AD373" t="s">
        <v>68</v>
      </c>
      <c r="AE373" t="s">
        <v>2827</v>
      </c>
      <c r="AF373" t="s">
        <v>2808</v>
      </c>
    </row>
    <row r="374" spans="1:32">
      <c r="A374" t="s">
        <v>1218</v>
      </c>
      <c r="B374" s="3">
        <v>45885</v>
      </c>
      <c r="C374" t="str">
        <f t="shared" si="46"/>
        <v>August</v>
      </c>
      <c r="D374">
        <f t="shared" si="47"/>
        <v>2025</v>
      </c>
      <c r="E374" s="3">
        <v>45887</v>
      </c>
      <c r="F374">
        <f t="shared" si="45"/>
        <v>2</v>
      </c>
      <c r="G374" t="s">
        <v>640</v>
      </c>
      <c r="H374" t="s">
        <v>264</v>
      </c>
      <c r="I374" t="s">
        <v>24</v>
      </c>
      <c r="J374" t="s">
        <v>38</v>
      </c>
      <c r="K374" t="s">
        <v>228</v>
      </c>
      <c r="L374" t="s">
        <v>229</v>
      </c>
      <c r="M374" t="s">
        <v>41</v>
      </c>
      <c r="N374" t="s">
        <v>66</v>
      </c>
      <c r="O374" t="s">
        <v>1219</v>
      </c>
      <c r="P374" t="s">
        <v>44</v>
      </c>
      <c r="Q374">
        <v>5</v>
      </c>
      <c r="R374">
        <v>1530.36</v>
      </c>
      <c r="S374" s="6">
        <v>0</v>
      </c>
      <c r="T374" s="6">
        <f t="shared" si="48"/>
        <v>0</v>
      </c>
      <c r="U374">
        <v>7651.8</v>
      </c>
      <c r="V374">
        <f t="shared" si="49"/>
        <v>7651.7999999999993</v>
      </c>
      <c r="W374" s="6">
        <f t="shared" si="50"/>
        <v>0</v>
      </c>
      <c r="X374">
        <v>5171.78</v>
      </c>
      <c r="Y374">
        <v>2480.02</v>
      </c>
      <c r="Z374">
        <f t="shared" si="51"/>
        <v>2480.0199999999995</v>
      </c>
      <c r="AA374" s="6">
        <f t="shared" si="52"/>
        <v>0</v>
      </c>
      <c r="AB374">
        <f t="shared" si="53"/>
        <v>0.32410935988917638</v>
      </c>
      <c r="AC374" t="s">
        <v>32</v>
      </c>
      <c r="AD374" t="s">
        <v>33</v>
      </c>
      <c r="AE374" t="s">
        <v>2828</v>
      </c>
    </row>
    <row r="375" spans="1:32">
      <c r="A375" t="s">
        <v>1220</v>
      </c>
      <c r="B375" s="3">
        <v>45760</v>
      </c>
      <c r="C375" t="str">
        <f t="shared" si="46"/>
        <v>April</v>
      </c>
      <c r="D375">
        <f t="shared" si="47"/>
        <v>2025</v>
      </c>
      <c r="E375" s="3">
        <v>45760</v>
      </c>
      <c r="F375">
        <f t="shared" si="45"/>
        <v>0</v>
      </c>
      <c r="G375" t="s">
        <v>1221</v>
      </c>
      <c r="H375" t="s">
        <v>132</v>
      </c>
      <c r="I375" t="s">
        <v>37</v>
      </c>
      <c r="J375" t="s">
        <v>25</v>
      </c>
      <c r="K375" t="s">
        <v>136</v>
      </c>
      <c r="L375" t="s">
        <v>137</v>
      </c>
      <c r="M375" t="s">
        <v>28</v>
      </c>
      <c r="N375" t="s">
        <v>124</v>
      </c>
      <c r="O375" t="s">
        <v>1222</v>
      </c>
      <c r="P375" t="s">
        <v>31</v>
      </c>
      <c r="Q375">
        <v>9</v>
      </c>
      <c r="R375">
        <v>1118.68</v>
      </c>
      <c r="S375" s="6">
        <v>0</v>
      </c>
      <c r="T375" s="6">
        <f t="shared" si="48"/>
        <v>0</v>
      </c>
      <c r="U375">
        <v>10068.120000000001</v>
      </c>
      <c r="V375">
        <f t="shared" si="49"/>
        <v>10068.120000000001</v>
      </c>
      <c r="W375" s="6">
        <f t="shared" si="50"/>
        <v>0</v>
      </c>
      <c r="X375">
        <v>8595.3700000000008</v>
      </c>
      <c r="Y375">
        <v>1472.75</v>
      </c>
      <c r="Z375">
        <f t="shared" si="51"/>
        <v>1472.75</v>
      </c>
      <c r="AA375" s="6">
        <f t="shared" si="52"/>
        <v>0</v>
      </c>
      <c r="AB375">
        <f t="shared" si="53"/>
        <v>0.14627855051389932</v>
      </c>
      <c r="AC375" t="s">
        <v>32</v>
      </c>
      <c r="AD375" t="s">
        <v>33</v>
      </c>
      <c r="AE375" t="s">
        <v>2826</v>
      </c>
      <c r="AF375" s="10" t="s">
        <v>2800</v>
      </c>
    </row>
    <row r="376" spans="1:32">
      <c r="A376" t="s">
        <v>1223</v>
      </c>
      <c r="B376" s="3">
        <v>45715</v>
      </c>
      <c r="C376" t="str">
        <f t="shared" si="46"/>
        <v>February</v>
      </c>
      <c r="D376">
        <f t="shared" si="47"/>
        <v>2025</v>
      </c>
      <c r="E376" s="3">
        <v>45716</v>
      </c>
      <c r="F376">
        <f t="shared" si="45"/>
        <v>1</v>
      </c>
      <c r="G376" t="s">
        <v>1224</v>
      </c>
      <c r="H376" t="s">
        <v>89</v>
      </c>
      <c r="I376" t="s">
        <v>37</v>
      </c>
      <c r="J376" t="s">
        <v>25</v>
      </c>
      <c r="K376" t="s">
        <v>136</v>
      </c>
      <c r="L376" t="s">
        <v>137</v>
      </c>
      <c r="M376" t="s">
        <v>28</v>
      </c>
      <c r="N376" t="s">
        <v>91</v>
      </c>
      <c r="O376" t="s">
        <v>1225</v>
      </c>
      <c r="P376" t="s">
        <v>59</v>
      </c>
      <c r="Q376">
        <v>6</v>
      </c>
      <c r="R376">
        <v>2393.25</v>
      </c>
      <c r="S376" s="6">
        <v>0</v>
      </c>
      <c r="T376" s="6">
        <f t="shared" si="48"/>
        <v>0</v>
      </c>
      <c r="U376">
        <v>14359.5</v>
      </c>
      <c r="V376">
        <f t="shared" si="49"/>
        <v>14359.5</v>
      </c>
      <c r="W376" s="6">
        <f t="shared" si="50"/>
        <v>0</v>
      </c>
      <c r="X376">
        <v>8117.71</v>
      </c>
      <c r="Y376">
        <v>6241.79</v>
      </c>
      <c r="Z376">
        <f t="shared" si="51"/>
        <v>6241.79</v>
      </c>
      <c r="AA376" s="6">
        <f t="shared" si="52"/>
        <v>0</v>
      </c>
      <c r="AB376">
        <f t="shared" si="53"/>
        <v>0.43468017688638183</v>
      </c>
      <c r="AC376" t="s">
        <v>32</v>
      </c>
      <c r="AD376" t="s">
        <v>33</v>
      </c>
      <c r="AE376" t="s">
        <v>2828</v>
      </c>
    </row>
    <row r="377" spans="1:32">
      <c r="A377" t="s">
        <v>1226</v>
      </c>
      <c r="B377" s="3">
        <v>45657</v>
      </c>
      <c r="C377" t="str">
        <f t="shared" si="46"/>
        <v>December</v>
      </c>
      <c r="D377">
        <f t="shared" si="47"/>
        <v>2024</v>
      </c>
      <c r="E377" s="3">
        <v>45748</v>
      </c>
      <c r="F377">
        <f t="shared" si="45"/>
        <v>91</v>
      </c>
      <c r="G377" t="s">
        <v>1227</v>
      </c>
      <c r="H377" t="s">
        <v>71</v>
      </c>
      <c r="I377" t="s">
        <v>24</v>
      </c>
      <c r="J377" t="s">
        <v>25</v>
      </c>
      <c r="K377" t="s">
        <v>350</v>
      </c>
      <c r="L377" t="s">
        <v>351</v>
      </c>
      <c r="M377" t="s">
        <v>41</v>
      </c>
      <c r="N377" t="s">
        <v>66</v>
      </c>
      <c r="O377" t="s">
        <v>1228</v>
      </c>
      <c r="P377" t="s">
        <v>44</v>
      </c>
      <c r="Q377">
        <v>3</v>
      </c>
      <c r="R377">
        <v>1166.6099999999999</v>
      </c>
      <c r="S377" s="6">
        <v>0.25</v>
      </c>
      <c r="T377" s="6">
        <f t="shared" si="48"/>
        <v>0.25</v>
      </c>
      <c r="U377">
        <v>2624.87</v>
      </c>
      <c r="V377">
        <f t="shared" si="49"/>
        <v>2624.8724999999999</v>
      </c>
      <c r="W377" s="6">
        <f t="shared" si="50"/>
        <v>2.5000000000545697E-3</v>
      </c>
      <c r="X377">
        <v>2253.88</v>
      </c>
      <c r="Y377">
        <v>370.99</v>
      </c>
      <c r="Z377">
        <f t="shared" si="51"/>
        <v>370.99249999999984</v>
      </c>
      <c r="AA377" s="6">
        <f t="shared" si="52"/>
        <v>2.499999999827196E-3</v>
      </c>
      <c r="AB377">
        <f t="shared" si="53"/>
        <v>0.14133734114704613</v>
      </c>
      <c r="AC377" t="s">
        <v>32</v>
      </c>
      <c r="AD377" t="s">
        <v>33</v>
      </c>
      <c r="AE377" t="s">
        <v>2828</v>
      </c>
    </row>
    <row r="378" spans="1:32">
      <c r="A378" t="s">
        <v>1229</v>
      </c>
      <c r="B378" s="3">
        <v>45655</v>
      </c>
      <c r="C378" t="str">
        <f t="shared" si="46"/>
        <v>December</v>
      </c>
      <c r="D378">
        <f t="shared" si="47"/>
        <v>2024</v>
      </c>
      <c r="E378" s="3">
        <v>45657</v>
      </c>
      <c r="F378">
        <f t="shared" si="45"/>
        <v>2</v>
      </c>
      <c r="G378" t="s">
        <v>1230</v>
      </c>
      <c r="H378" t="s">
        <v>47</v>
      </c>
      <c r="I378" t="s">
        <v>37</v>
      </c>
      <c r="J378" t="s">
        <v>38</v>
      </c>
      <c r="K378" t="s">
        <v>145</v>
      </c>
      <c r="L378" t="s">
        <v>146</v>
      </c>
      <c r="M378" t="s">
        <v>41</v>
      </c>
      <c r="N378" t="s">
        <v>66</v>
      </c>
      <c r="O378" t="s">
        <v>1231</v>
      </c>
      <c r="P378" t="s">
        <v>50</v>
      </c>
      <c r="Q378">
        <v>6</v>
      </c>
      <c r="R378">
        <v>1844.78</v>
      </c>
      <c r="S378" s="6">
        <v>0.2</v>
      </c>
      <c r="T378" s="6">
        <f t="shared" si="48"/>
        <v>0.2</v>
      </c>
      <c r="U378">
        <v>8854.94</v>
      </c>
      <c r="V378">
        <f t="shared" si="49"/>
        <v>8854.9440000000013</v>
      </c>
      <c r="W378" s="6">
        <f t="shared" si="50"/>
        <v>4.0000000008149073E-3</v>
      </c>
      <c r="X378">
        <v>7433.95</v>
      </c>
      <c r="Y378">
        <v>1420.99</v>
      </c>
      <c r="Z378">
        <f t="shared" si="51"/>
        <v>1420.9940000000015</v>
      </c>
      <c r="AA378" s="6">
        <f t="shared" si="52"/>
        <v>4.0000000014970283E-3</v>
      </c>
      <c r="AB378">
        <f t="shared" si="53"/>
        <v>0.1604746455765278</v>
      </c>
      <c r="AC378" t="s">
        <v>32</v>
      </c>
      <c r="AD378" t="s">
        <v>33</v>
      </c>
      <c r="AE378" t="s">
        <v>2828</v>
      </c>
    </row>
    <row r="379" spans="1:32">
      <c r="A379" t="s">
        <v>1232</v>
      </c>
      <c r="B379" s="3">
        <v>45801</v>
      </c>
      <c r="C379" t="str">
        <f t="shared" si="46"/>
        <v>May</v>
      </c>
      <c r="D379">
        <f t="shared" si="47"/>
        <v>2025</v>
      </c>
      <c r="E379" s="3">
        <v>45807</v>
      </c>
      <c r="F379">
        <f t="shared" si="45"/>
        <v>6</v>
      </c>
      <c r="G379" t="s">
        <v>1233</v>
      </c>
      <c r="H379" t="s">
        <v>264</v>
      </c>
      <c r="I379" t="s">
        <v>37</v>
      </c>
      <c r="J379" t="s">
        <v>38</v>
      </c>
      <c r="K379" t="s">
        <v>39</v>
      </c>
      <c r="L379" t="s">
        <v>40</v>
      </c>
      <c r="M379" t="s">
        <v>28</v>
      </c>
      <c r="N379" t="s">
        <v>124</v>
      </c>
      <c r="O379" t="s">
        <v>1234</v>
      </c>
      <c r="P379" t="s">
        <v>44</v>
      </c>
      <c r="Q379">
        <v>1</v>
      </c>
      <c r="R379">
        <v>2564.7399999999998</v>
      </c>
      <c r="S379" s="6">
        <v>0</v>
      </c>
      <c r="T379" s="6">
        <f t="shared" si="48"/>
        <v>0</v>
      </c>
      <c r="U379">
        <v>2564.7399999999998</v>
      </c>
      <c r="V379">
        <f t="shared" si="49"/>
        <v>2564.7399999999998</v>
      </c>
      <c r="W379" s="6">
        <f t="shared" si="50"/>
        <v>0</v>
      </c>
      <c r="X379">
        <v>1754.58</v>
      </c>
      <c r="Y379">
        <v>810.16</v>
      </c>
      <c r="Z379">
        <f t="shared" si="51"/>
        <v>810.15999999999985</v>
      </c>
      <c r="AA379" s="6">
        <f t="shared" si="52"/>
        <v>0</v>
      </c>
      <c r="AB379">
        <f t="shared" si="53"/>
        <v>0.31588387126960232</v>
      </c>
      <c r="AC379" t="s">
        <v>32</v>
      </c>
      <c r="AD379" t="s">
        <v>33</v>
      </c>
      <c r="AE379" t="s">
        <v>2828</v>
      </c>
    </row>
    <row r="380" spans="1:32">
      <c r="A380" t="s">
        <v>1235</v>
      </c>
      <c r="B380" s="3">
        <v>45799</v>
      </c>
      <c r="C380" t="str">
        <f t="shared" si="46"/>
        <v>May</v>
      </c>
      <c r="D380">
        <f t="shared" si="47"/>
        <v>2025</v>
      </c>
      <c r="E380" s="3">
        <v>45799</v>
      </c>
      <c r="F380">
        <f t="shared" si="45"/>
        <v>0</v>
      </c>
      <c r="G380" t="s">
        <v>1236</v>
      </c>
      <c r="H380" t="s">
        <v>36</v>
      </c>
      <c r="I380" t="s">
        <v>24</v>
      </c>
      <c r="J380" t="s">
        <v>63</v>
      </c>
      <c r="K380" t="s">
        <v>190</v>
      </c>
      <c r="L380" t="s">
        <v>191</v>
      </c>
      <c r="M380" t="s">
        <v>74</v>
      </c>
      <c r="N380" t="s">
        <v>75</v>
      </c>
      <c r="O380" t="s">
        <v>1237</v>
      </c>
      <c r="P380" t="s">
        <v>59</v>
      </c>
      <c r="Q380">
        <v>2</v>
      </c>
      <c r="R380">
        <v>3910.61</v>
      </c>
      <c r="S380" s="6">
        <v>0</v>
      </c>
      <c r="T380" s="6">
        <f t="shared" si="48"/>
        <v>0</v>
      </c>
      <c r="U380">
        <v>7821.22</v>
      </c>
      <c r="V380">
        <f t="shared" si="49"/>
        <v>7821.22</v>
      </c>
      <c r="W380" s="6">
        <f t="shared" si="50"/>
        <v>0</v>
      </c>
      <c r="X380">
        <v>4994.46</v>
      </c>
      <c r="Y380">
        <v>2826.76</v>
      </c>
      <c r="Z380">
        <f t="shared" si="51"/>
        <v>2826.76</v>
      </c>
      <c r="AA380" s="6">
        <f t="shared" si="52"/>
        <v>0</v>
      </c>
      <c r="AB380">
        <f t="shared" si="53"/>
        <v>0.36142187535959863</v>
      </c>
      <c r="AC380" t="s">
        <v>32</v>
      </c>
      <c r="AD380" t="s">
        <v>33</v>
      </c>
      <c r="AE380" t="s">
        <v>2828</v>
      </c>
    </row>
    <row r="381" spans="1:32">
      <c r="A381" t="s">
        <v>1238</v>
      </c>
      <c r="B381" s="3">
        <v>45554</v>
      </c>
      <c r="C381" t="str">
        <f t="shared" si="46"/>
        <v>September</v>
      </c>
      <c r="D381">
        <f t="shared" si="47"/>
        <v>2024</v>
      </c>
      <c r="E381" s="3">
        <v>45558</v>
      </c>
      <c r="F381">
        <f t="shared" si="45"/>
        <v>4</v>
      </c>
      <c r="G381" t="s">
        <v>1239</v>
      </c>
      <c r="H381" t="s">
        <v>36</v>
      </c>
      <c r="I381" t="s">
        <v>37</v>
      </c>
      <c r="J381" t="s">
        <v>54</v>
      </c>
      <c r="K381" t="s">
        <v>185</v>
      </c>
      <c r="L381" t="s">
        <v>186</v>
      </c>
      <c r="M381" t="s">
        <v>28</v>
      </c>
      <c r="N381" t="s">
        <v>29</v>
      </c>
      <c r="O381" t="s">
        <v>1240</v>
      </c>
      <c r="P381" t="s">
        <v>59</v>
      </c>
      <c r="Q381">
        <v>7</v>
      </c>
      <c r="R381">
        <v>1136.68</v>
      </c>
      <c r="S381" s="6">
        <v>0</v>
      </c>
      <c r="T381" s="6">
        <f t="shared" si="48"/>
        <v>0</v>
      </c>
      <c r="U381">
        <v>7956.76</v>
      </c>
      <c r="V381">
        <f t="shared" si="49"/>
        <v>7956.76</v>
      </c>
      <c r="W381" s="6">
        <f t="shared" si="50"/>
        <v>0</v>
      </c>
      <c r="X381">
        <v>4799.54</v>
      </c>
      <c r="Y381">
        <v>3157.22</v>
      </c>
      <c r="Z381">
        <f t="shared" si="51"/>
        <v>3157.2200000000003</v>
      </c>
      <c r="AA381" s="6">
        <f t="shared" si="52"/>
        <v>0</v>
      </c>
      <c r="AB381">
        <f t="shared" si="53"/>
        <v>0.39679718880549369</v>
      </c>
      <c r="AC381" t="s">
        <v>32</v>
      </c>
      <c r="AD381" t="s">
        <v>33</v>
      </c>
      <c r="AE381" t="s">
        <v>2828</v>
      </c>
    </row>
    <row r="382" spans="1:32">
      <c r="A382" t="s">
        <v>1241</v>
      </c>
      <c r="B382" s="3">
        <v>45477</v>
      </c>
      <c r="C382" t="str">
        <f t="shared" si="46"/>
        <v>July</v>
      </c>
      <c r="D382">
        <f t="shared" si="47"/>
        <v>2024</v>
      </c>
      <c r="E382" s="3">
        <v>45396</v>
      </c>
      <c r="F382">
        <f t="shared" si="45"/>
        <v>-81</v>
      </c>
      <c r="G382" t="s">
        <v>1242</v>
      </c>
      <c r="H382" t="s">
        <v>71</v>
      </c>
      <c r="I382" t="s">
        <v>24</v>
      </c>
      <c r="J382" t="s">
        <v>63</v>
      </c>
      <c r="K382" t="s">
        <v>64</v>
      </c>
      <c r="L382" t="s">
        <v>65</v>
      </c>
      <c r="M382" t="s">
        <v>41</v>
      </c>
      <c r="N382" t="s">
        <v>158</v>
      </c>
      <c r="O382" t="s">
        <v>1243</v>
      </c>
      <c r="P382" t="s">
        <v>44</v>
      </c>
      <c r="Q382">
        <v>5</v>
      </c>
      <c r="R382">
        <v>2235.85</v>
      </c>
      <c r="S382" s="6">
        <v>0.25</v>
      </c>
      <c r="T382" s="6">
        <f t="shared" si="48"/>
        <v>0.25</v>
      </c>
      <c r="U382">
        <v>8384.44</v>
      </c>
      <c r="V382">
        <f t="shared" si="49"/>
        <v>8384.4375</v>
      </c>
      <c r="W382" s="6">
        <f t="shared" si="50"/>
        <v>-2.500000000509317E-3</v>
      </c>
      <c r="X382">
        <v>4765.96</v>
      </c>
      <c r="Y382">
        <v>3618.48</v>
      </c>
      <c r="Z382">
        <f t="shared" si="51"/>
        <v>3618.4775</v>
      </c>
      <c r="AA382" s="6">
        <f t="shared" si="52"/>
        <v>-2.5000000000545697E-3</v>
      </c>
      <c r="AB382">
        <f t="shared" si="53"/>
        <v>0.43157069272685256</v>
      </c>
      <c r="AC382" t="s">
        <v>32</v>
      </c>
      <c r="AD382" t="s">
        <v>103</v>
      </c>
      <c r="AE382" t="s">
        <v>2826</v>
      </c>
      <c r="AF382" s="10" t="s">
        <v>2818</v>
      </c>
    </row>
    <row r="383" spans="1:32">
      <c r="A383" t="s">
        <v>1244</v>
      </c>
      <c r="B383" s="3">
        <v>45919</v>
      </c>
      <c r="C383" t="str">
        <f t="shared" si="46"/>
        <v>September</v>
      </c>
      <c r="D383">
        <f t="shared" si="47"/>
        <v>2025</v>
      </c>
      <c r="E383" s="3">
        <v>45923</v>
      </c>
      <c r="F383">
        <f t="shared" si="45"/>
        <v>4</v>
      </c>
      <c r="G383" t="s">
        <v>1245</v>
      </c>
      <c r="H383" t="s">
        <v>53</v>
      </c>
      <c r="I383" t="s">
        <v>95</v>
      </c>
      <c r="J383" t="s">
        <v>25</v>
      </c>
      <c r="K383" t="s">
        <v>350</v>
      </c>
      <c r="L383" t="s">
        <v>351</v>
      </c>
      <c r="M383" t="s">
        <v>28</v>
      </c>
      <c r="N383" t="s">
        <v>153</v>
      </c>
      <c r="O383" t="s">
        <v>1246</v>
      </c>
      <c r="P383" t="s">
        <v>59</v>
      </c>
      <c r="Q383">
        <v>4</v>
      </c>
      <c r="R383">
        <v>4387.1499999999996</v>
      </c>
      <c r="S383" s="6">
        <v>0.05</v>
      </c>
      <c r="T383" s="6">
        <f t="shared" si="48"/>
        <v>0.05</v>
      </c>
      <c r="U383">
        <v>16671.169999999998</v>
      </c>
      <c r="V383">
        <f t="shared" si="49"/>
        <v>16671.169999999998</v>
      </c>
      <c r="W383" s="6">
        <f t="shared" si="50"/>
        <v>0</v>
      </c>
      <c r="X383">
        <v>10833.19</v>
      </c>
      <c r="Y383">
        <v>5837.98</v>
      </c>
      <c r="Z383">
        <f t="shared" si="51"/>
        <v>5837.9799999999977</v>
      </c>
      <c r="AA383" s="6">
        <f t="shared" si="52"/>
        <v>0</v>
      </c>
      <c r="AB383">
        <f t="shared" si="53"/>
        <v>0.35018418023450054</v>
      </c>
      <c r="AC383" t="s">
        <v>155</v>
      </c>
      <c r="AD383" t="s">
        <v>68</v>
      </c>
      <c r="AE383" t="s">
        <v>2827</v>
      </c>
      <c r="AF383" s="10" t="s">
        <v>2796</v>
      </c>
    </row>
    <row r="384" spans="1:32">
      <c r="A384" t="s">
        <v>1247</v>
      </c>
      <c r="B384" s="3">
        <v>45750</v>
      </c>
      <c r="C384" t="str">
        <f t="shared" si="46"/>
        <v>April</v>
      </c>
      <c r="D384">
        <f t="shared" si="47"/>
        <v>2025</v>
      </c>
      <c r="E384" s="3">
        <v>45724</v>
      </c>
      <c r="F384">
        <f t="shared" si="45"/>
        <v>-26</v>
      </c>
      <c r="G384" t="s">
        <v>157</v>
      </c>
      <c r="H384" t="s">
        <v>53</v>
      </c>
      <c r="I384" t="s">
        <v>37</v>
      </c>
      <c r="J384" t="s">
        <v>38</v>
      </c>
      <c r="K384" t="s">
        <v>145</v>
      </c>
      <c r="L384" t="s">
        <v>146</v>
      </c>
      <c r="M384" t="s">
        <v>74</v>
      </c>
      <c r="N384" t="s">
        <v>171</v>
      </c>
      <c r="O384" t="s">
        <v>1248</v>
      </c>
      <c r="P384" t="s">
        <v>50</v>
      </c>
      <c r="Q384">
        <v>3</v>
      </c>
      <c r="R384">
        <v>4361.8500000000004</v>
      </c>
      <c r="S384" s="6">
        <v>0.2</v>
      </c>
      <c r="T384" s="6">
        <f t="shared" si="48"/>
        <v>0.2</v>
      </c>
      <c r="U384">
        <v>10468.44</v>
      </c>
      <c r="V384">
        <f t="shared" si="49"/>
        <v>10468.440000000002</v>
      </c>
      <c r="W384" s="6">
        <f t="shared" si="50"/>
        <v>0</v>
      </c>
      <c r="X384">
        <v>8399.8700000000008</v>
      </c>
      <c r="Y384">
        <v>2068.5700000000002</v>
      </c>
      <c r="Z384">
        <f t="shared" si="51"/>
        <v>2068.5700000000015</v>
      </c>
      <c r="AA384" s="6">
        <f t="shared" si="52"/>
        <v>0</v>
      </c>
      <c r="AB384">
        <f t="shared" si="53"/>
        <v>0.19760059760575607</v>
      </c>
      <c r="AC384" t="s">
        <v>32</v>
      </c>
      <c r="AD384" t="s">
        <v>33</v>
      </c>
      <c r="AE384" t="s">
        <v>2826</v>
      </c>
      <c r="AF384" s="10" t="s">
        <v>2790</v>
      </c>
    </row>
    <row r="385" spans="1:32">
      <c r="A385" t="s">
        <v>1249</v>
      </c>
      <c r="B385" s="3">
        <v>45836</v>
      </c>
      <c r="C385" t="str">
        <f t="shared" si="46"/>
        <v>June</v>
      </c>
      <c r="D385">
        <f t="shared" si="47"/>
        <v>2025</v>
      </c>
      <c r="E385" s="3">
        <v>45784</v>
      </c>
      <c r="F385">
        <f t="shared" si="45"/>
        <v>-52</v>
      </c>
      <c r="G385" t="s">
        <v>1250</v>
      </c>
      <c r="H385" t="s">
        <v>71</v>
      </c>
      <c r="I385" t="s">
        <v>90</v>
      </c>
      <c r="J385" t="s">
        <v>38</v>
      </c>
      <c r="K385" t="s">
        <v>99</v>
      </c>
      <c r="L385" t="s">
        <v>100</v>
      </c>
      <c r="M385" t="s">
        <v>28</v>
      </c>
      <c r="N385" t="s">
        <v>48</v>
      </c>
      <c r="O385" t="s">
        <v>1251</v>
      </c>
      <c r="P385" t="s">
        <v>50</v>
      </c>
      <c r="Q385">
        <v>2</v>
      </c>
      <c r="R385">
        <v>2242.75</v>
      </c>
      <c r="S385" s="6">
        <v>0</v>
      </c>
      <c r="T385" s="6">
        <f t="shared" si="48"/>
        <v>0</v>
      </c>
      <c r="U385">
        <v>4485.5</v>
      </c>
      <c r="V385">
        <f t="shared" si="49"/>
        <v>4485.5</v>
      </c>
      <c r="W385" s="6">
        <f t="shared" si="50"/>
        <v>0</v>
      </c>
      <c r="X385">
        <v>3131.86</v>
      </c>
      <c r="Y385">
        <v>1353.64</v>
      </c>
      <c r="Z385">
        <f t="shared" si="51"/>
        <v>1353.6399999999999</v>
      </c>
      <c r="AA385" s="6">
        <f t="shared" si="52"/>
        <v>0</v>
      </c>
      <c r="AB385">
        <f t="shared" si="53"/>
        <v>0.30178129528480657</v>
      </c>
      <c r="AC385" t="s">
        <v>32</v>
      </c>
      <c r="AD385" t="s">
        <v>68</v>
      </c>
      <c r="AE385" t="s">
        <v>2826</v>
      </c>
      <c r="AF385" s="10" t="s">
        <v>2793</v>
      </c>
    </row>
    <row r="386" spans="1:32">
      <c r="A386" t="s">
        <v>1252</v>
      </c>
      <c r="B386" s="3">
        <v>45366</v>
      </c>
      <c r="C386" t="str">
        <f t="shared" si="46"/>
        <v>March</v>
      </c>
      <c r="D386">
        <f t="shared" si="47"/>
        <v>2024</v>
      </c>
      <c r="E386" s="3">
        <v>45371</v>
      </c>
      <c r="F386">
        <f t="shared" ref="F386:F449" si="54">E386-B386</f>
        <v>5</v>
      </c>
      <c r="G386" t="s">
        <v>1253</v>
      </c>
      <c r="H386" t="s">
        <v>141</v>
      </c>
      <c r="I386" t="s">
        <v>24</v>
      </c>
      <c r="J386" t="s">
        <v>38</v>
      </c>
      <c r="K386" t="s">
        <v>228</v>
      </c>
      <c r="L386" t="s">
        <v>229</v>
      </c>
      <c r="M386" t="s">
        <v>74</v>
      </c>
      <c r="N386" t="s">
        <v>80</v>
      </c>
      <c r="O386" t="s">
        <v>1254</v>
      </c>
      <c r="P386" t="s">
        <v>59</v>
      </c>
      <c r="Q386">
        <v>2</v>
      </c>
      <c r="R386">
        <v>1881.4</v>
      </c>
      <c r="S386" s="6">
        <v>0.25</v>
      </c>
      <c r="T386" s="6">
        <f t="shared" si="48"/>
        <v>0.25</v>
      </c>
      <c r="U386">
        <v>2822.1</v>
      </c>
      <c r="V386">
        <f t="shared" si="49"/>
        <v>2822.1000000000004</v>
      </c>
      <c r="W386" s="6">
        <f t="shared" si="50"/>
        <v>0</v>
      </c>
      <c r="X386">
        <v>1624.57</v>
      </c>
      <c r="Y386">
        <v>1197.53</v>
      </c>
      <c r="Z386">
        <f t="shared" si="51"/>
        <v>1197.5300000000004</v>
      </c>
      <c r="AA386" s="6">
        <f t="shared" si="52"/>
        <v>0</v>
      </c>
      <c r="AB386">
        <f t="shared" si="53"/>
        <v>0.42434003047376079</v>
      </c>
      <c r="AC386" t="s">
        <v>32</v>
      </c>
      <c r="AD386" t="s">
        <v>103</v>
      </c>
      <c r="AE386" t="s">
        <v>2827</v>
      </c>
      <c r="AF386" t="s">
        <v>103</v>
      </c>
    </row>
    <row r="387" spans="1:32">
      <c r="A387" t="s">
        <v>1255</v>
      </c>
      <c r="B387" s="3">
        <v>45832</v>
      </c>
      <c r="C387" t="str">
        <f t="shared" ref="C387:C450" si="55">TEXT(B387, "mmmm")</f>
        <v>June</v>
      </c>
      <c r="D387">
        <f t="shared" ref="D387:D450" si="56">YEAR(B387)</f>
        <v>2025</v>
      </c>
      <c r="E387" s="3">
        <v>45838</v>
      </c>
      <c r="F387">
        <f t="shared" si="54"/>
        <v>6</v>
      </c>
      <c r="G387" t="s">
        <v>1256</v>
      </c>
      <c r="H387" t="s">
        <v>53</v>
      </c>
      <c r="I387" t="s">
        <v>24</v>
      </c>
      <c r="J387" t="s">
        <v>25</v>
      </c>
      <c r="K387" t="s">
        <v>236</v>
      </c>
      <c r="L387" t="s">
        <v>237</v>
      </c>
      <c r="M387" t="s">
        <v>28</v>
      </c>
      <c r="N387" t="s">
        <v>91</v>
      </c>
      <c r="O387" t="s">
        <v>1257</v>
      </c>
      <c r="P387" t="s">
        <v>59</v>
      </c>
      <c r="Q387">
        <v>6</v>
      </c>
      <c r="R387">
        <v>365.76</v>
      </c>
      <c r="S387" s="6">
        <v>0.1</v>
      </c>
      <c r="T387" s="6">
        <f t="shared" ref="T387:T450" si="57">ABS(S387)</f>
        <v>0.1</v>
      </c>
      <c r="U387">
        <v>1975.1</v>
      </c>
      <c r="V387">
        <f t="shared" ref="V387:V450" si="58">Q387*R387*(1-T387)</f>
        <v>1975.104</v>
      </c>
      <c r="W387" s="6">
        <f t="shared" ref="W387:W450" si="59">V387-U387</f>
        <v>4.0000000001327862E-3</v>
      </c>
      <c r="X387">
        <v>1115.3499999999999</v>
      </c>
      <c r="Y387">
        <v>859.75</v>
      </c>
      <c r="Z387">
        <f t="shared" ref="Z387:Z450" si="60">V387-X387</f>
        <v>859.75400000000013</v>
      </c>
      <c r="AA387" s="6">
        <f t="shared" ref="AA387:AA450" si="61">Z387-Y387</f>
        <v>4.0000000001327862E-3</v>
      </c>
      <c r="AB387">
        <f t="shared" ref="AB387:AB450" si="62">Z387/V387</f>
        <v>0.4352955591199249</v>
      </c>
      <c r="AC387" t="s">
        <v>32</v>
      </c>
      <c r="AD387" t="s">
        <v>33</v>
      </c>
      <c r="AE387" t="s">
        <v>2828</v>
      </c>
    </row>
    <row r="388" spans="1:32">
      <c r="A388" t="s">
        <v>1258</v>
      </c>
      <c r="B388" s="3">
        <v>45700</v>
      </c>
      <c r="C388" t="str">
        <f t="shared" si="55"/>
        <v>February</v>
      </c>
      <c r="D388">
        <f t="shared" si="56"/>
        <v>2025</v>
      </c>
      <c r="E388" s="3">
        <v>45702</v>
      </c>
      <c r="F388">
        <f t="shared" si="54"/>
        <v>2</v>
      </c>
      <c r="G388" t="s">
        <v>1259</v>
      </c>
      <c r="H388" t="s">
        <v>132</v>
      </c>
      <c r="I388" t="s">
        <v>24</v>
      </c>
      <c r="J388" t="s">
        <v>63</v>
      </c>
      <c r="K388" t="s">
        <v>64</v>
      </c>
      <c r="L388" t="s">
        <v>65</v>
      </c>
      <c r="M388" t="s">
        <v>41</v>
      </c>
      <c r="N388" t="s">
        <v>57</v>
      </c>
      <c r="O388" t="s">
        <v>1260</v>
      </c>
      <c r="P388" t="s">
        <v>31</v>
      </c>
      <c r="Q388">
        <v>8</v>
      </c>
      <c r="R388">
        <v>2786.66</v>
      </c>
      <c r="S388" s="6">
        <v>0.1</v>
      </c>
      <c r="T388" s="6">
        <f t="shared" si="57"/>
        <v>0.1</v>
      </c>
      <c r="U388">
        <v>20063.95</v>
      </c>
      <c r="V388">
        <f t="shared" si="58"/>
        <v>20063.952000000001</v>
      </c>
      <c r="W388" s="6">
        <f t="shared" si="59"/>
        <v>2.0000000004074536E-3</v>
      </c>
      <c r="X388">
        <v>14363.38</v>
      </c>
      <c r="Y388">
        <v>5700.57</v>
      </c>
      <c r="Z388">
        <f t="shared" si="60"/>
        <v>5700.5720000000019</v>
      </c>
      <c r="AA388" s="6">
        <f t="shared" si="61"/>
        <v>2.000000002226443E-3</v>
      </c>
      <c r="AB388">
        <f t="shared" si="62"/>
        <v>0.2841200975759911</v>
      </c>
      <c r="AC388" t="s">
        <v>32</v>
      </c>
      <c r="AD388" t="s">
        <v>33</v>
      </c>
      <c r="AE388" t="s">
        <v>2828</v>
      </c>
    </row>
    <row r="389" spans="1:32">
      <c r="A389" t="s">
        <v>1261</v>
      </c>
      <c r="B389" s="3">
        <v>45938</v>
      </c>
      <c r="C389" t="str">
        <f t="shared" si="55"/>
        <v>October</v>
      </c>
      <c r="D389">
        <f t="shared" si="56"/>
        <v>2025</v>
      </c>
      <c r="E389" s="3">
        <v>45882</v>
      </c>
      <c r="F389">
        <f t="shared" si="54"/>
        <v>-56</v>
      </c>
      <c r="G389" t="s">
        <v>1262</v>
      </c>
      <c r="H389" t="s">
        <v>114</v>
      </c>
      <c r="I389" t="s">
        <v>37</v>
      </c>
      <c r="J389" t="s">
        <v>63</v>
      </c>
      <c r="K389" t="s">
        <v>72</v>
      </c>
      <c r="L389" t="s">
        <v>73</v>
      </c>
      <c r="M389" t="s">
        <v>41</v>
      </c>
      <c r="N389" t="s">
        <v>66</v>
      </c>
      <c r="O389" t="s">
        <v>1263</v>
      </c>
      <c r="P389" t="s">
        <v>59</v>
      </c>
      <c r="Q389">
        <v>5</v>
      </c>
      <c r="R389">
        <v>352.86</v>
      </c>
      <c r="S389" s="6">
        <v>0</v>
      </c>
      <c r="T389" s="6">
        <f t="shared" si="57"/>
        <v>0</v>
      </c>
      <c r="U389">
        <v>1764.3</v>
      </c>
      <c r="V389">
        <f t="shared" si="58"/>
        <v>1764.3000000000002</v>
      </c>
      <c r="W389" s="6">
        <f t="shared" si="59"/>
        <v>0</v>
      </c>
      <c r="X389">
        <v>1332.49</v>
      </c>
      <c r="Y389">
        <v>431.81</v>
      </c>
      <c r="Z389">
        <f t="shared" si="60"/>
        <v>431.81000000000017</v>
      </c>
      <c r="AA389" s="6">
        <f t="shared" si="61"/>
        <v>0</v>
      </c>
      <c r="AB389">
        <f t="shared" si="62"/>
        <v>0.24474862551720236</v>
      </c>
      <c r="AC389" t="s">
        <v>111</v>
      </c>
      <c r="AD389" t="s">
        <v>68</v>
      </c>
      <c r="AE389" t="s">
        <v>2826</v>
      </c>
      <c r="AF389" s="10" t="s">
        <v>2806</v>
      </c>
    </row>
    <row r="390" spans="1:32">
      <c r="A390" t="s">
        <v>1264</v>
      </c>
      <c r="B390" s="3">
        <v>45425</v>
      </c>
      <c r="C390" t="str">
        <f t="shared" si="55"/>
        <v>May</v>
      </c>
      <c r="D390">
        <f t="shared" si="56"/>
        <v>2024</v>
      </c>
      <c r="E390" s="3">
        <v>45430</v>
      </c>
      <c r="F390">
        <f t="shared" si="54"/>
        <v>5</v>
      </c>
      <c r="G390" t="s">
        <v>1265</v>
      </c>
      <c r="H390" t="s">
        <v>47</v>
      </c>
      <c r="I390" t="s">
        <v>37</v>
      </c>
      <c r="J390" t="s">
        <v>63</v>
      </c>
      <c r="K390" t="s">
        <v>180</v>
      </c>
      <c r="L390" t="s">
        <v>181</v>
      </c>
      <c r="M390" t="s">
        <v>41</v>
      </c>
      <c r="N390" t="s">
        <v>66</v>
      </c>
      <c r="O390" t="s">
        <v>1266</v>
      </c>
      <c r="P390" t="s">
        <v>59</v>
      </c>
      <c r="Q390">
        <v>3</v>
      </c>
      <c r="R390">
        <v>3128.59</v>
      </c>
      <c r="S390" s="6">
        <v>0</v>
      </c>
      <c r="T390" s="6">
        <f t="shared" si="57"/>
        <v>0</v>
      </c>
      <c r="U390">
        <v>9385.77</v>
      </c>
      <c r="V390">
        <f t="shared" si="58"/>
        <v>9385.77</v>
      </c>
      <c r="W390" s="6">
        <f t="shared" si="59"/>
        <v>0</v>
      </c>
      <c r="X390">
        <v>6872.44</v>
      </c>
      <c r="Y390">
        <v>2783.66</v>
      </c>
      <c r="Z390">
        <f t="shared" si="60"/>
        <v>2513.3300000000008</v>
      </c>
      <c r="AA390" s="6">
        <f t="shared" si="61"/>
        <v>-270.32999999999902</v>
      </c>
      <c r="AB390">
        <f t="shared" si="62"/>
        <v>0.26778090662779941</v>
      </c>
      <c r="AC390" t="s">
        <v>32</v>
      </c>
      <c r="AD390" t="s">
        <v>33</v>
      </c>
      <c r="AE390" t="s">
        <v>2828</v>
      </c>
    </row>
    <row r="391" spans="1:32">
      <c r="A391" t="s">
        <v>1267</v>
      </c>
      <c r="B391" s="3">
        <v>45416</v>
      </c>
      <c r="C391" t="str">
        <f t="shared" si="55"/>
        <v>May</v>
      </c>
      <c r="D391">
        <f t="shared" si="56"/>
        <v>2024</v>
      </c>
      <c r="E391" s="3">
        <v>45395</v>
      </c>
      <c r="F391">
        <f t="shared" si="54"/>
        <v>-21</v>
      </c>
      <c r="G391" t="s">
        <v>1268</v>
      </c>
      <c r="H391" t="s">
        <v>162</v>
      </c>
      <c r="I391" t="s">
        <v>90</v>
      </c>
      <c r="J391" t="s">
        <v>63</v>
      </c>
      <c r="K391" t="s">
        <v>180</v>
      </c>
      <c r="L391" t="s">
        <v>181</v>
      </c>
      <c r="M391" t="s">
        <v>74</v>
      </c>
      <c r="N391" t="s">
        <v>274</v>
      </c>
      <c r="O391" t="s">
        <v>1269</v>
      </c>
      <c r="P391" t="s">
        <v>31</v>
      </c>
      <c r="Q391">
        <v>5</v>
      </c>
      <c r="R391">
        <v>1937.54</v>
      </c>
      <c r="S391" s="6">
        <v>0.2</v>
      </c>
      <c r="T391" s="6">
        <f t="shared" si="57"/>
        <v>0.2</v>
      </c>
      <c r="U391">
        <v>7750.16</v>
      </c>
      <c r="V391">
        <f t="shared" si="58"/>
        <v>7750.1600000000008</v>
      </c>
      <c r="W391" s="6">
        <f t="shared" si="59"/>
        <v>0</v>
      </c>
      <c r="X391">
        <v>5434.3</v>
      </c>
      <c r="Y391">
        <v>2315.86</v>
      </c>
      <c r="Z391">
        <f t="shared" si="60"/>
        <v>2315.8600000000006</v>
      </c>
      <c r="AA391" s="6">
        <f t="shared" si="61"/>
        <v>0</v>
      </c>
      <c r="AB391">
        <f t="shared" si="62"/>
        <v>0.29881447608823564</v>
      </c>
      <c r="AC391" t="s">
        <v>111</v>
      </c>
      <c r="AD391" t="s">
        <v>68</v>
      </c>
      <c r="AE391" t="s">
        <v>2826</v>
      </c>
      <c r="AF391" s="10" t="s">
        <v>2806</v>
      </c>
    </row>
    <row r="392" spans="1:32">
      <c r="A392" t="s">
        <v>1270</v>
      </c>
      <c r="B392" s="3">
        <v>45454</v>
      </c>
      <c r="C392" t="str">
        <f t="shared" si="55"/>
        <v>June</v>
      </c>
      <c r="D392">
        <f t="shared" si="56"/>
        <v>2024</v>
      </c>
      <c r="E392" s="3">
        <v>45607</v>
      </c>
      <c r="F392">
        <f t="shared" si="54"/>
        <v>153</v>
      </c>
      <c r="G392" t="s">
        <v>1271</v>
      </c>
      <c r="H392" t="s">
        <v>47</v>
      </c>
      <c r="I392" t="s">
        <v>24</v>
      </c>
      <c r="J392" t="s">
        <v>63</v>
      </c>
      <c r="K392" t="s">
        <v>180</v>
      </c>
      <c r="L392" t="s">
        <v>181</v>
      </c>
      <c r="M392" t="s">
        <v>41</v>
      </c>
      <c r="N392" t="s">
        <v>57</v>
      </c>
      <c r="O392" t="s">
        <v>1272</v>
      </c>
      <c r="P392" t="s">
        <v>59</v>
      </c>
      <c r="Q392">
        <v>4</v>
      </c>
      <c r="R392">
        <v>1917.26</v>
      </c>
      <c r="S392" s="6">
        <v>0.2</v>
      </c>
      <c r="T392" s="6">
        <f t="shared" si="57"/>
        <v>0.2</v>
      </c>
      <c r="U392">
        <v>6135.23</v>
      </c>
      <c r="V392">
        <f t="shared" si="58"/>
        <v>6135.232</v>
      </c>
      <c r="W392" s="6">
        <f t="shared" si="59"/>
        <v>2.0000000004074536E-3</v>
      </c>
      <c r="X392">
        <v>3439.79</v>
      </c>
      <c r="Y392">
        <v>2695.44</v>
      </c>
      <c r="Z392">
        <f t="shared" si="60"/>
        <v>2695.442</v>
      </c>
      <c r="AA392" s="6">
        <f t="shared" si="61"/>
        <v>1.9999999999527063E-3</v>
      </c>
      <c r="AB392">
        <f t="shared" si="62"/>
        <v>0.43933823529411764</v>
      </c>
      <c r="AC392" t="s">
        <v>32</v>
      </c>
      <c r="AD392" t="s">
        <v>33</v>
      </c>
      <c r="AE392" t="s">
        <v>2828</v>
      </c>
    </row>
    <row r="393" spans="1:32">
      <c r="A393" t="s">
        <v>1273</v>
      </c>
      <c r="B393" s="3">
        <v>45702</v>
      </c>
      <c r="C393" t="str">
        <f t="shared" si="55"/>
        <v>February</v>
      </c>
      <c r="D393">
        <f t="shared" si="56"/>
        <v>2025</v>
      </c>
      <c r="E393" s="3">
        <v>45702</v>
      </c>
      <c r="F393">
        <f t="shared" si="54"/>
        <v>0</v>
      </c>
      <c r="G393" t="s">
        <v>1274</v>
      </c>
      <c r="H393" t="s">
        <v>162</v>
      </c>
      <c r="I393" t="s">
        <v>24</v>
      </c>
      <c r="J393" t="s">
        <v>54</v>
      </c>
      <c r="K393" t="s">
        <v>175</v>
      </c>
      <c r="L393" t="s">
        <v>176</v>
      </c>
      <c r="M393" t="s">
        <v>28</v>
      </c>
      <c r="N393" t="s">
        <v>124</v>
      </c>
      <c r="O393" t="s">
        <v>1275</v>
      </c>
      <c r="P393" t="s">
        <v>50</v>
      </c>
      <c r="Q393">
        <v>1</v>
      </c>
      <c r="R393">
        <v>714.43</v>
      </c>
      <c r="S393" s="6">
        <v>0</v>
      </c>
      <c r="T393" s="6">
        <f t="shared" si="57"/>
        <v>0</v>
      </c>
      <c r="U393">
        <v>714.43</v>
      </c>
      <c r="V393">
        <f t="shared" si="58"/>
        <v>714.43</v>
      </c>
      <c r="W393" s="6">
        <f t="shared" si="59"/>
        <v>0</v>
      </c>
      <c r="X393">
        <v>565.44000000000005</v>
      </c>
      <c r="Y393">
        <v>148.99</v>
      </c>
      <c r="Z393">
        <f t="shared" si="60"/>
        <v>148.9899999999999</v>
      </c>
      <c r="AA393" s="6">
        <f t="shared" si="61"/>
        <v>0</v>
      </c>
      <c r="AB393">
        <f t="shared" si="62"/>
        <v>0.20854387413742412</v>
      </c>
      <c r="AC393" t="s">
        <v>32</v>
      </c>
      <c r="AD393" t="s">
        <v>33</v>
      </c>
      <c r="AE393" t="s">
        <v>2828</v>
      </c>
    </row>
    <row r="394" spans="1:32">
      <c r="A394" t="s">
        <v>1276</v>
      </c>
      <c r="B394" s="3">
        <v>45341</v>
      </c>
      <c r="C394" t="str">
        <f t="shared" si="55"/>
        <v>February</v>
      </c>
      <c r="D394">
        <f t="shared" si="56"/>
        <v>2024</v>
      </c>
      <c r="E394" s="3">
        <v>45344</v>
      </c>
      <c r="F394">
        <f t="shared" si="54"/>
        <v>3</v>
      </c>
      <c r="G394" t="s">
        <v>1277</v>
      </c>
      <c r="H394" t="s">
        <v>89</v>
      </c>
      <c r="I394" t="s">
        <v>37</v>
      </c>
      <c r="J394" t="s">
        <v>54</v>
      </c>
      <c r="K394" t="s">
        <v>185</v>
      </c>
      <c r="L394" t="s">
        <v>186</v>
      </c>
      <c r="M394" t="s">
        <v>41</v>
      </c>
      <c r="N394" t="s">
        <v>57</v>
      </c>
      <c r="O394" t="s">
        <v>1278</v>
      </c>
      <c r="P394" t="s">
        <v>44</v>
      </c>
      <c r="Q394">
        <v>9</v>
      </c>
      <c r="R394">
        <v>4053.01</v>
      </c>
      <c r="S394" s="6">
        <v>0</v>
      </c>
      <c r="T394" s="6">
        <f t="shared" si="57"/>
        <v>0</v>
      </c>
      <c r="U394">
        <v>36477.089999999997</v>
      </c>
      <c r="V394">
        <f t="shared" si="58"/>
        <v>36477.090000000004</v>
      </c>
      <c r="W394" s="6">
        <f t="shared" si="59"/>
        <v>0</v>
      </c>
      <c r="X394">
        <v>24525.48</v>
      </c>
      <c r="Y394">
        <v>11951.61</v>
      </c>
      <c r="Z394">
        <f t="shared" si="60"/>
        <v>11951.610000000004</v>
      </c>
      <c r="AA394" s="6">
        <f t="shared" si="61"/>
        <v>0</v>
      </c>
      <c r="AB394">
        <f t="shared" si="62"/>
        <v>0.32764702447481425</v>
      </c>
      <c r="AC394" t="s">
        <v>32</v>
      </c>
      <c r="AD394" t="s">
        <v>33</v>
      </c>
      <c r="AE394" t="s">
        <v>2828</v>
      </c>
    </row>
    <row r="395" spans="1:32">
      <c r="A395" t="s">
        <v>1279</v>
      </c>
      <c r="B395" s="3">
        <v>45527</v>
      </c>
      <c r="C395" t="str">
        <f t="shared" si="55"/>
        <v>August</v>
      </c>
      <c r="D395">
        <f t="shared" si="56"/>
        <v>2024</v>
      </c>
      <c r="E395" s="3">
        <v>45533</v>
      </c>
      <c r="F395">
        <f t="shared" si="54"/>
        <v>6</v>
      </c>
      <c r="G395" t="s">
        <v>1280</v>
      </c>
      <c r="H395" t="s">
        <v>36</v>
      </c>
      <c r="I395" t="s">
        <v>90</v>
      </c>
      <c r="J395" t="s">
        <v>25</v>
      </c>
      <c r="K395" t="s">
        <v>136</v>
      </c>
      <c r="L395" t="s">
        <v>137</v>
      </c>
      <c r="M395" t="s">
        <v>28</v>
      </c>
      <c r="N395" t="s">
        <v>91</v>
      </c>
      <c r="O395" t="s">
        <v>1281</v>
      </c>
      <c r="P395" t="s">
        <v>44</v>
      </c>
      <c r="Q395">
        <v>2</v>
      </c>
      <c r="R395">
        <v>1936.91</v>
      </c>
      <c r="S395" s="6">
        <v>0.05</v>
      </c>
      <c r="T395" s="6">
        <f t="shared" si="57"/>
        <v>0.05</v>
      </c>
      <c r="U395">
        <v>3680.13</v>
      </c>
      <c r="V395">
        <f t="shared" si="58"/>
        <v>3680.1289999999999</v>
      </c>
      <c r="W395" s="6">
        <f t="shared" si="59"/>
        <v>-1.0000000002037268E-3</v>
      </c>
      <c r="X395">
        <v>2967.46</v>
      </c>
      <c r="Y395">
        <v>712.67</v>
      </c>
      <c r="Z395">
        <f t="shared" si="60"/>
        <v>712.66899999999987</v>
      </c>
      <c r="AA395" s="6">
        <f t="shared" si="61"/>
        <v>-1.00000000009004E-3</v>
      </c>
      <c r="AB395">
        <f t="shared" si="62"/>
        <v>0.19365326595888346</v>
      </c>
      <c r="AC395" t="s">
        <v>32</v>
      </c>
      <c r="AD395" t="s">
        <v>33</v>
      </c>
      <c r="AE395" t="s">
        <v>2828</v>
      </c>
    </row>
    <row r="396" spans="1:32">
      <c r="A396" t="s">
        <v>1282</v>
      </c>
      <c r="B396" s="3">
        <v>45355</v>
      </c>
      <c r="C396" t="str">
        <f t="shared" si="55"/>
        <v>March</v>
      </c>
      <c r="D396">
        <f t="shared" si="56"/>
        <v>2024</v>
      </c>
      <c r="E396" s="3">
        <v>45386</v>
      </c>
      <c r="F396">
        <f t="shared" si="54"/>
        <v>31</v>
      </c>
      <c r="G396" t="s">
        <v>1283</v>
      </c>
      <c r="H396" t="s">
        <v>264</v>
      </c>
      <c r="I396" t="s">
        <v>24</v>
      </c>
      <c r="J396" t="s">
        <v>63</v>
      </c>
      <c r="K396" t="s">
        <v>64</v>
      </c>
      <c r="L396" t="s">
        <v>65</v>
      </c>
      <c r="M396" t="s">
        <v>41</v>
      </c>
      <c r="N396" t="s">
        <v>57</v>
      </c>
      <c r="O396" t="s">
        <v>1284</v>
      </c>
      <c r="P396" t="s">
        <v>50</v>
      </c>
      <c r="Q396">
        <v>7</v>
      </c>
      <c r="R396">
        <v>3945.21</v>
      </c>
      <c r="S396" s="6">
        <v>0</v>
      </c>
      <c r="T396" s="6">
        <f t="shared" si="57"/>
        <v>0</v>
      </c>
      <c r="U396">
        <v>27616.47</v>
      </c>
      <c r="V396">
        <f t="shared" si="58"/>
        <v>27616.47</v>
      </c>
      <c r="W396" s="6">
        <f t="shared" si="59"/>
        <v>0</v>
      </c>
      <c r="X396">
        <v>21225.26</v>
      </c>
      <c r="Y396">
        <v>6391.21</v>
      </c>
      <c r="Z396">
        <f t="shared" si="60"/>
        <v>6391.2100000000028</v>
      </c>
      <c r="AA396" s="6">
        <f t="shared" si="61"/>
        <v>0</v>
      </c>
      <c r="AB396">
        <f t="shared" si="62"/>
        <v>0.23142747787823725</v>
      </c>
      <c r="AC396" t="s">
        <v>32</v>
      </c>
      <c r="AD396" t="s">
        <v>33</v>
      </c>
      <c r="AE396" t="s">
        <v>2828</v>
      </c>
    </row>
    <row r="397" spans="1:32">
      <c r="A397" t="s">
        <v>1285</v>
      </c>
      <c r="B397" s="3">
        <v>45449</v>
      </c>
      <c r="C397" t="str">
        <f t="shared" si="55"/>
        <v>June</v>
      </c>
      <c r="D397">
        <f t="shared" si="56"/>
        <v>2024</v>
      </c>
      <c r="E397" s="3">
        <v>45450</v>
      </c>
      <c r="F397">
        <f t="shared" si="54"/>
        <v>1</v>
      </c>
      <c r="G397" t="s">
        <v>1286</v>
      </c>
      <c r="H397" t="s">
        <v>118</v>
      </c>
      <c r="I397" t="s">
        <v>95</v>
      </c>
      <c r="J397" t="s">
        <v>54</v>
      </c>
      <c r="K397" t="s">
        <v>247</v>
      </c>
      <c r="L397" t="s">
        <v>248</v>
      </c>
      <c r="M397" t="s">
        <v>41</v>
      </c>
      <c r="N397" t="s">
        <v>42</v>
      </c>
      <c r="O397" t="s">
        <v>1287</v>
      </c>
      <c r="P397" t="s">
        <v>44</v>
      </c>
      <c r="Q397">
        <v>7</v>
      </c>
      <c r="R397">
        <v>861.91</v>
      </c>
      <c r="S397" s="6">
        <v>0.05</v>
      </c>
      <c r="T397" s="6">
        <f t="shared" si="57"/>
        <v>0.05</v>
      </c>
      <c r="U397">
        <v>5731.7</v>
      </c>
      <c r="V397">
        <f t="shared" si="58"/>
        <v>5731.7014999999992</v>
      </c>
      <c r="W397" s="6">
        <f t="shared" si="59"/>
        <v>1.4999999993960955E-3</v>
      </c>
      <c r="X397">
        <v>4115.5600000000004</v>
      </c>
      <c r="Y397">
        <v>1616.14</v>
      </c>
      <c r="Z397">
        <f t="shared" si="60"/>
        <v>1616.1414999999988</v>
      </c>
      <c r="AA397" s="6">
        <f t="shared" si="61"/>
        <v>1.4999999987139745E-3</v>
      </c>
      <c r="AB397">
        <f t="shared" si="62"/>
        <v>0.28196539893084088</v>
      </c>
      <c r="AC397" t="s">
        <v>32</v>
      </c>
      <c r="AD397" t="s">
        <v>33</v>
      </c>
      <c r="AE397" t="s">
        <v>2828</v>
      </c>
    </row>
    <row r="398" spans="1:32">
      <c r="A398" t="s">
        <v>1288</v>
      </c>
      <c r="B398" s="3">
        <v>45761</v>
      </c>
      <c r="C398" t="str">
        <f t="shared" si="55"/>
        <v>April</v>
      </c>
      <c r="D398">
        <f t="shared" si="56"/>
        <v>2025</v>
      </c>
      <c r="E398" s="3">
        <v>45769</v>
      </c>
      <c r="F398">
        <f t="shared" si="54"/>
        <v>8</v>
      </c>
      <c r="G398" t="s">
        <v>1289</v>
      </c>
      <c r="H398" t="s">
        <v>89</v>
      </c>
      <c r="I398" t="s">
        <v>37</v>
      </c>
      <c r="J398" t="s">
        <v>54</v>
      </c>
      <c r="K398" t="s">
        <v>175</v>
      </c>
      <c r="L398" t="s">
        <v>176</v>
      </c>
      <c r="M398" t="s">
        <v>74</v>
      </c>
      <c r="N398" t="s">
        <v>274</v>
      </c>
      <c r="O398" t="s">
        <v>1290</v>
      </c>
      <c r="P398" t="s">
        <v>59</v>
      </c>
      <c r="Q398">
        <v>2</v>
      </c>
      <c r="R398">
        <v>638.73</v>
      </c>
      <c r="S398" s="6">
        <v>0.05</v>
      </c>
      <c r="T398" s="6">
        <f t="shared" si="57"/>
        <v>0.05</v>
      </c>
      <c r="U398">
        <v>1213.5899999999999</v>
      </c>
      <c r="V398">
        <f t="shared" si="58"/>
        <v>1213.587</v>
      </c>
      <c r="W398" s="6">
        <f t="shared" si="59"/>
        <v>-2.9999999999290594E-3</v>
      </c>
      <c r="X398">
        <v>956.22</v>
      </c>
      <c r="Y398">
        <v>257.37</v>
      </c>
      <c r="Z398">
        <f t="shared" si="60"/>
        <v>257.36699999999996</v>
      </c>
      <c r="AA398" s="6">
        <f t="shared" si="61"/>
        <v>-3.0000000000427463E-3</v>
      </c>
      <c r="AB398">
        <f t="shared" si="62"/>
        <v>0.21207132245154239</v>
      </c>
      <c r="AC398" t="s">
        <v>32</v>
      </c>
      <c r="AD398" t="s">
        <v>33</v>
      </c>
      <c r="AE398" t="s">
        <v>2828</v>
      </c>
    </row>
    <row r="399" spans="1:32">
      <c r="A399" t="s">
        <v>1291</v>
      </c>
      <c r="B399" s="3">
        <v>45906</v>
      </c>
      <c r="C399" t="str">
        <f t="shared" si="55"/>
        <v>September</v>
      </c>
      <c r="D399">
        <f t="shared" si="56"/>
        <v>2025</v>
      </c>
      <c r="E399" s="3">
        <v>45936</v>
      </c>
      <c r="F399">
        <f t="shared" si="54"/>
        <v>30</v>
      </c>
      <c r="G399" t="s">
        <v>1292</v>
      </c>
      <c r="H399" t="s">
        <v>132</v>
      </c>
      <c r="I399" t="s">
        <v>37</v>
      </c>
      <c r="J399" t="s">
        <v>25</v>
      </c>
      <c r="K399" t="s">
        <v>136</v>
      </c>
      <c r="L399" t="s">
        <v>137</v>
      </c>
      <c r="M399" t="s">
        <v>41</v>
      </c>
      <c r="N399" t="s">
        <v>42</v>
      </c>
      <c r="O399" t="s">
        <v>1293</v>
      </c>
      <c r="P399" t="s">
        <v>31</v>
      </c>
      <c r="Q399">
        <v>2</v>
      </c>
      <c r="R399">
        <v>1731.88</v>
      </c>
      <c r="S399" s="6">
        <v>0</v>
      </c>
      <c r="T399" s="6">
        <f t="shared" si="57"/>
        <v>0</v>
      </c>
      <c r="U399">
        <v>3463.76</v>
      </c>
      <c r="V399">
        <f t="shared" si="58"/>
        <v>3463.76</v>
      </c>
      <c r="W399" s="6">
        <f t="shared" si="59"/>
        <v>0</v>
      </c>
      <c r="X399">
        <v>2143.7399999999998</v>
      </c>
      <c r="Y399">
        <v>1320.02</v>
      </c>
      <c r="Z399">
        <f t="shared" si="60"/>
        <v>1320.0200000000004</v>
      </c>
      <c r="AA399" s="6">
        <f t="shared" si="61"/>
        <v>0</v>
      </c>
      <c r="AB399">
        <f t="shared" si="62"/>
        <v>0.38109453310852959</v>
      </c>
      <c r="AC399" t="s">
        <v>32</v>
      </c>
      <c r="AD399" t="s">
        <v>33</v>
      </c>
      <c r="AE399" t="s">
        <v>2828</v>
      </c>
    </row>
    <row r="400" spans="1:32">
      <c r="A400" t="s">
        <v>1294</v>
      </c>
      <c r="B400" s="3">
        <v>45492</v>
      </c>
      <c r="C400" t="str">
        <f t="shared" si="55"/>
        <v>July</v>
      </c>
      <c r="D400">
        <f t="shared" si="56"/>
        <v>2024</v>
      </c>
      <c r="E400" s="3">
        <v>45499</v>
      </c>
      <c r="F400">
        <f t="shared" si="54"/>
        <v>7</v>
      </c>
      <c r="G400" t="s">
        <v>1295</v>
      </c>
      <c r="H400" t="s">
        <v>71</v>
      </c>
      <c r="I400" t="s">
        <v>90</v>
      </c>
      <c r="J400" t="s">
        <v>25</v>
      </c>
      <c r="K400" t="s">
        <v>122</v>
      </c>
      <c r="L400" t="s">
        <v>123</v>
      </c>
      <c r="M400" t="s">
        <v>74</v>
      </c>
      <c r="N400" t="s">
        <v>274</v>
      </c>
      <c r="O400" t="s">
        <v>1296</v>
      </c>
      <c r="P400" t="s">
        <v>44</v>
      </c>
      <c r="Q400">
        <v>2</v>
      </c>
      <c r="R400">
        <v>1263.6500000000001</v>
      </c>
      <c r="S400" s="6">
        <v>0.2</v>
      </c>
      <c r="T400" s="6">
        <f t="shared" si="57"/>
        <v>0.2</v>
      </c>
      <c r="U400">
        <v>2021.84</v>
      </c>
      <c r="V400">
        <f t="shared" si="58"/>
        <v>2021.8400000000001</v>
      </c>
      <c r="W400" s="6">
        <f t="shared" si="59"/>
        <v>0</v>
      </c>
      <c r="X400">
        <v>1355.22</v>
      </c>
      <c r="Y400">
        <v>666.62</v>
      </c>
      <c r="Z400">
        <f t="shared" si="60"/>
        <v>666.62000000000012</v>
      </c>
      <c r="AA400" s="6">
        <f t="shared" si="61"/>
        <v>0</v>
      </c>
      <c r="AB400">
        <f t="shared" si="62"/>
        <v>0.32970957147944452</v>
      </c>
      <c r="AC400" t="s">
        <v>32</v>
      </c>
      <c r="AD400" t="s">
        <v>33</v>
      </c>
      <c r="AE400" t="s">
        <v>2828</v>
      </c>
    </row>
    <row r="401" spans="1:32">
      <c r="A401" t="s">
        <v>1297</v>
      </c>
      <c r="B401" s="3">
        <v>45771</v>
      </c>
      <c r="C401" t="str">
        <f t="shared" si="55"/>
        <v>April</v>
      </c>
      <c r="D401">
        <f t="shared" si="56"/>
        <v>2025</v>
      </c>
      <c r="E401" s="3">
        <v>45776</v>
      </c>
      <c r="F401">
        <f t="shared" si="54"/>
        <v>5</v>
      </c>
      <c r="G401" t="s">
        <v>1298</v>
      </c>
      <c r="H401" t="s">
        <v>162</v>
      </c>
      <c r="I401" t="s">
        <v>37</v>
      </c>
      <c r="J401" t="s">
        <v>54</v>
      </c>
      <c r="K401" t="s">
        <v>84</v>
      </c>
      <c r="L401" t="s">
        <v>85</v>
      </c>
      <c r="M401" t="s">
        <v>28</v>
      </c>
      <c r="N401" t="s">
        <v>29</v>
      </c>
      <c r="O401" t="s">
        <v>1299</v>
      </c>
      <c r="P401" t="s">
        <v>44</v>
      </c>
      <c r="Q401">
        <v>1</v>
      </c>
      <c r="R401">
        <v>4358.5</v>
      </c>
      <c r="S401" s="6">
        <v>0.25</v>
      </c>
      <c r="T401" s="6">
        <f t="shared" si="57"/>
        <v>0.25</v>
      </c>
      <c r="U401">
        <v>3268.88</v>
      </c>
      <c r="V401">
        <f t="shared" si="58"/>
        <v>3268.875</v>
      </c>
      <c r="W401" s="6">
        <f t="shared" si="59"/>
        <v>-5.0000000001091394E-3</v>
      </c>
      <c r="X401">
        <v>1993.74</v>
      </c>
      <c r="Y401">
        <v>1275.1400000000001</v>
      </c>
      <c r="Z401">
        <f t="shared" si="60"/>
        <v>1275.135</v>
      </c>
      <c r="AA401" s="6">
        <f t="shared" si="61"/>
        <v>-5.0000000001091394E-3</v>
      </c>
      <c r="AB401">
        <f t="shared" si="62"/>
        <v>0.39008374440747962</v>
      </c>
      <c r="AC401" t="s">
        <v>32</v>
      </c>
      <c r="AD401" t="s">
        <v>33</v>
      </c>
      <c r="AE401" t="s">
        <v>2828</v>
      </c>
    </row>
    <row r="402" spans="1:32">
      <c r="A402" t="s">
        <v>1300</v>
      </c>
      <c r="B402" s="3">
        <v>45814</v>
      </c>
      <c r="C402" t="str">
        <f t="shared" si="55"/>
        <v>June</v>
      </c>
      <c r="D402">
        <f t="shared" si="56"/>
        <v>2025</v>
      </c>
      <c r="E402" s="3">
        <v>45967</v>
      </c>
      <c r="F402">
        <f t="shared" si="54"/>
        <v>153</v>
      </c>
      <c r="G402" t="s">
        <v>1301</v>
      </c>
      <c r="H402" t="s">
        <v>132</v>
      </c>
      <c r="I402" t="s">
        <v>37</v>
      </c>
      <c r="J402" t="s">
        <v>25</v>
      </c>
      <c r="K402" t="s">
        <v>136</v>
      </c>
      <c r="L402" t="s">
        <v>137</v>
      </c>
      <c r="M402" t="s">
        <v>28</v>
      </c>
      <c r="N402" t="s">
        <v>29</v>
      </c>
      <c r="O402" t="s">
        <v>1302</v>
      </c>
      <c r="P402" t="s">
        <v>44</v>
      </c>
      <c r="Q402">
        <v>7</v>
      </c>
      <c r="R402">
        <v>878.09</v>
      </c>
      <c r="S402" s="6">
        <v>-0.1</v>
      </c>
      <c r="T402" s="6">
        <f t="shared" si="57"/>
        <v>0.1</v>
      </c>
      <c r="U402">
        <v>5839.3</v>
      </c>
      <c r="V402">
        <f t="shared" si="58"/>
        <v>5531.9670000000006</v>
      </c>
      <c r="W402" s="6">
        <f t="shared" si="59"/>
        <v>-307.33299999999963</v>
      </c>
      <c r="X402">
        <v>4877.38</v>
      </c>
      <c r="Y402">
        <v>961.92</v>
      </c>
      <c r="Z402">
        <f t="shared" si="60"/>
        <v>654.58700000000044</v>
      </c>
      <c r="AA402" s="6">
        <f t="shared" si="61"/>
        <v>-307.33299999999952</v>
      </c>
      <c r="AB402">
        <f t="shared" si="62"/>
        <v>0.11832807390210397</v>
      </c>
      <c r="AC402" t="s">
        <v>32</v>
      </c>
      <c r="AD402" t="s">
        <v>33</v>
      </c>
      <c r="AE402" t="s">
        <v>2826</v>
      </c>
      <c r="AF402" s="10" t="s">
        <v>2791</v>
      </c>
    </row>
    <row r="403" spans="1:32">
      <c r="A403" t="s">
        <v>1303</v>
      </c>
      <c r="B403" s="3">
        <v>45903</v>
      </c>
      <c r="C403" t="str">
        <f t="shared" si="55"/>
        <v>September</v>
      </c>
      <c r="D403">
        <f t="shared" si="56"/>
        <v>2025</v>
      </c>
      <c r="E403" s="3">
        <v>45732</v>
      </c>
      <c r="F403">
        <f t="shared" si="54"/>
        <v>-171</v>
      </c>
      <c r="G403" t="s">
        <v>1304</v>
      </c>
      <c r="H403" t="s">
        <v>53</v>
      </c>
      <c r="I403" t="s">
        <v>37</v>
      </c>
      <c r="J403" t="s">
        <v>38</v>
      </c>
      <c r="K403" t="s">
        <v>228</v>
      </c>
      <c r="L403" t="s">
        <v>229</v>
      </c>
      <c r="M403" t="s">
        <v>41</v>
      </c>
      <c r="N403" t="s">
        <v>42</v>
      </c>
      <c r="O403" t="s">
        <v>1305</v>
      </c>
      <c r="P403" t="s">
        <v>44</v>
      </c>
      <c r="Q403">
        <v>3</v>
      </c>
      <c r="R403">
        <v>2625.85</v>
      </c>
      <c r="S403" s="6">
        <v>0</v>
      </c>
      <c r="T403" s="6">
        <f t="shared" si="57"/>
        <v>0</v>
      </c>
      <c r="U403">
        <v>7877.55</v>
      </c>
      <c r="V403">
        <f t="shared" si="58"/>
        <v>7877.5499999999993</v>
      </c>
      <c r="W403" s="6">
        <f t="shared" si="59"/>
        <v>0</v>
      </c>
      <c r="X403">
        <v>5562.77</v>
      </c>
      <c r="Y403">
        <v>2314.7800000000002</v>
      </c>
      <c r="Z403">
        <f t="shared" si="60"/>
        <v>2314.7799999999988</v>
      </c>
      <c r="AA403" s="6">
        <f t="shared" si="61"/>
        <v>0</v>
      </c>
      <c r="AB403">
        <f t="shared" si="62"/>
        <v>0.29384516759652418</v>
      </c>
      <c r="AC403" t="s">
        <v>32</v>
      </c>
      <c r="AD403" t="s">
        <v>33</v>
      </c>
      <c r="AE403" t="s">
        <v>2826</v>
      </c>
      <c r="AF403" s="10" t="s">
        <v>2790</v>
      </c>
    </row>
    <row r="404" spans="1:32">
      <c r="A404" t="s">
        <v>1306</v>
      </c>
      <c r="B404" s="3">
        <v>45373</v>
      </c>
      <c r="C404" t="str">
        <f t="shared" si="55"/>
        <v>March</v>
      </c>
      <c r="D404">
        <f t="shared" si="56"/>
        <v>2024</v>
      </c>
      <c r="E404" s="3">
        <v>45373</v>
      </c>
      <c r="F404">
        <f t="shared" si="54"/>
        <v>0</v>
      </c>
      <c r="G404" t="s">
        <v>1307</v>
      </c>
      <c r="H404" t="s">
        <v>114</v>
      </c>
      <c r="I404" t="s">
        <v>37</v>
      </c>
      <c r="J404" t="s">
        <v>54</v>
      </c>
      <c r="K404" t="s">
        <v>175</v>
      </c>
      <c r="L404" t="s">
        <v>176</v>
      </c>
      <c r="M404" t="s">
        <v>41</v>
      </c>
      <c r="N404" t="s">
        <v>42</v>
      </c>
      <c r="O404" t="s">
        <v>1308</v>
      </c>
      <c r="P404" t="s">
        <v>2781</v>
      </c>
      <c r="Q404">
        <v>3</v>
      </c>
      <c r="R404">
        <v>1365.26</v>
      </c>
      <c r="S404" s="6">
        <v>0</v>
      </c>
      <c r="T404" s="6">
        <f t="shared" si="57"/>
        <v>0</v>
      </c>
      <c r="U404">
        <v>4095.78</v>
      </c>
      <c r="V404">
        <f t="shared" si="58"/>
        <v>4095.7799999999997</v>
      </c>
      <c r="W404" s="6">
        <f t="shared" si="59"/>
        <v>0</v>
      </c>
      <c r="X404">
        <v>2807.77</v>
      </c>
      <c r="Y404">
        <v>1288.01</v>
      </c>
      <c r="Z404">
        <f t="shared" si="60"/>
        <v>1288.0099999999998</v>
      </c>
      <c r="AA404" s="6">
        <f t="shared" si="61"/>
        <v>0</v>
      </c>
      <c r="AB404">
        <f t="shared" si="62"/>
        <v>0.31447245701673426</v>
      </c>
      <c r="AC404" t="s">
        <v>32</v>
      </c>
      <c r="AD404" t="s">
        <v>33</v>
      </c>
      <c r="AE404" t="s">
        <v>2827</v>
      </c>
      <c r="AF404" t="s">
        <v>2829</v>
      </c>
    </row>
    <row r="405" spans="1:32">
      <c r="A405" t="s">
        <v>1309</v>
      </c>
      <c r="B405" s="3">
        <v>45565</v>
      </c>
      <c r="C405" t="str">
        <f t="shared" si="55"/>
        <v>September</v>
      </c>
      <c r="D405">
        <f t="shared" si="56"/>
        <v>2024</v>
      </c>
      <c r="E405" s="3">
        <v>45392</v>
      </c>
      <c r="F405">
        <f t="shared" si="54"/>
        <v>-173</v>
      </c>
      <c r="G405" t="s">
        <v>1310</v>
      </c>
      <c r="H405" t="s">
        <v>53</v>
      </c>
      <c r="I405" t="s">
        <v>37</v>
      </c>
      <c r="J405" t="s">
        <v>54</v>
      </c>
      <c r="K405" t="s">
        <v>185</v>
      </c>
      <c r="L405" t="s">
        <v>186</v>
      </c>
      <c r="M405" t="s">
        <v>28</v>
      </c>
      <c r="N405" t="s">
        <v>29</v>
      </c>
      <c r="O405" t="s">
        <v>1311</v>
      </c>
      <c r="P405" t="s">
        <v>44</v>
      </c>
      <c r="Q405">
        <v>5</v>
      </c>
      <c r="R405">
        <v>3512.25</v>
      </c>
      <c r="S405" s="6">
        <v>0.05</v>
      </c>
      <c r="T405" s="6">
        <f t="shared" si="57"/>
        <v>0.05</v>
      </c>
      <c r="U405">
        <v>16683.189999999999</v>
      </c>
      <c r="V405">
        <f t="shared" si="58"/>
        <v>16683.1875</v>
      </c>
      <c r="W405" s="6">
        <f t="shared" si="59"/>
        <v>-2.4999999986903276E-3</v>
      </c>
      <c r="X405">
        <v>10301.16</v>
      </c>
      <c r="Y405">
        <v>6382.03</v>
      </c>
      <c r="Z405">
        <f t="shared" si="60"/>
        <v>6382.0275000000001</v>
      </c>
      <c r="AA405" s="6">
        <f t="shared" si="61"/>
        <v>-2.4999999995998223E-3</v>
      </c>
      <c r="AB405">
        <f t="shared" si="62"/>
        <v>0.38254245479168775</v>
      </c>
      <c r="AC405" t="s">
        <v>32</v>
      </c>
      <c r="AD405" t="s">
        <v>103</v>
      </c>
      <c r="AE405" t="s">
        <v>2826</v>
      </c>
      <c r="AF405" s="10" t="s">
        <v>2818</v>
      </c>
    </row>
    <row r="406" spans="1:32">
      <c r="A406" t="s">
        <v>1312</v>
      </c>
      <c r="B406" s="3">
        <v>45318</v>
      </c>
      <c r="C406" t="str">
        <f t="shared" si="55"/>
        <v>January</v>
      </c>
      <c r="D406">
        <f t="shared" si="56"/>
        <v>2024</v>
      </c>
      <c r="E406" s="3">
        <v>45325</v>
      </c>
      <c r="F406">
        <f t="shared" si="54"/>
        <v>7</v>
      </c>
      <c r="G406" t="s">
        <v>1313</v>
      </c>
      <c r="H406" t="s">
        <v>89</v>
      </c>
      <c r="I406" t="s">
        <v>90</v>
      </c>
      <c r="J406" t="s">
        <v>63</v>
      </c>
      <c r="K406" t="s">
        <v>26</v>
      </c>
      <c r="L406" t="s">
        <v>109</v>
      </c>
      <c r="M406" t="s">
        <v>41</v>
      </c>
      <c r="N406" t="s">
        <v>66</v>
      </c>
      <c r="O406" t="s">
        <v>1314</v>
      </c>
      <c r="P406" t="s">
        <v>44</v>
      </c>
      <c r="Q406">
        <v>3</v>
      </c>
      <c r="R406">
        <v>359.61</v>
      </c>
      <c r="S406" s="6">
        <v>0</v>
      </c>
      <c r="T406" s="6">
        <f t="shared" si="57"/>
        <v>0</v>
      </c>
      <c r="U406">
        <v>1078.83</v>
      </c>
      <c r="V406">
        <f t="shared" si="58"/>
        <v>1078.83</v>
      </c>
      <c r="W406" s="6">
        <f t="shared" si="59"/>
        <v>0</v>
      </c>
      <c r="X406">
        <v>926.35</v>
      </c>
      <c r="Y406">
        <v>152.47999999999999</v>
      </c>
      <c r="Z406">
        <f t="shared" si="60"/>
        <v>152.4799999999999</v>
      </c>
      <c r="AA406" s="6">
        <f t="shared" si="61"/>
        <v>0</v>
      </c>
      <c r="AB406">
        <f t="shared" si="62"/>
        <v>0.14133830167867034</v>
      </c>
      <c r="AC406" t="s">
        <v>32</v>
      </c>
      <c r="AD406" t="s">
        <v>33</v>
      </c>
      <c r="AE406" t="s">
        <v>2828</v>
      </c>
    </row>
    <row r="407" spans="1:32">
      <c r="A407" t="s">
        <v>1315</v>
      </c>
      <c r="B407" s="3">
        <v>45558</v>
      </c>
      <c r="C407" t="str">
        <f t="shared" si="55"/>
        <v>September</v>
      </c>
      <c r="D407">
        <f t="shared" si="56"/>
        <v>2024</v>
      </c>
      <c r="E407" s="3">
        <v>45559</v>
      </c>
      <c r="F407">
        <f t="shared" si="54"/>
        <v>1</v>
      </c>
      <c r="G407" t="s">
        <v>1316</v>
      </c>
      <c r="H407" t="s">
        <v>89</v>
      </c>
      <c r="I407" t="s">
        <v>95</v>
      </c>
      <c r="J407" t="s">
        <v>63</v>
      </c>
      <c r="K407" t="s">
        <v>180</v>
      </c>
      <c r="L407" t="s">
        <v>181</v>
      </c>
      <c r="M407" t="s">
        <v>41</v>
      </c>
      <c r="N407" t="s">
        <v>158</v>
      </c>
      <c r="O407" t="s">
        <v>1317</v>
      </c>
      <c r="P407" t="s">
        <v>2781</v>
      </c>
      <c r="Q407">
        <v>7</v>
      </c>
      <c r="R407">
        <v>3878.01</v>
      </c>
      <c r="S407" s="6">
        <v>0.1</v>
      </c>
      <c r="T407" s="6">
        <f t="shared" si="57"/>
        <v>0.1</v>
      </c>
      <c r="U407">
        <v>24431.46</v>
      </c>
      <c r="V407">
        <f t="shared" si="58"/>
        <v>24431.463</v>
      </c>
      <c r="W407" s="6">
        <f t="shared" si="59"/>
        <v>3.0000000006111804E-3</v>
      </c>
      <c r="X407">
        <v>18202.36</v>
      </c>
      <c r="Y407">
        <v>6229.1</v>
      </c>
      <c r="Z407">
        <f t="shared" si="60"/>
        <v>6229.1029999999992</v>
      </c>
      <c r="AA407" s="6">
        <f t="shared" si="61"/>
        <v>2.999999998792191E-3</v>
      </c>
      <c r="AB407">
        <f t="shared" si="62"/>
        <v>0.25496234097810677</v>
      </c>
      <c r="AC407" t="s">
        <v>32</v>
      </c>
      <c r="AD407" t="s">
        <v>33</v>
      </c>
      <c r="AE407" t="s">
        <v>2827</v>
      </c>
      <c r="AF407" t="s">
        <v>2829</v>
      </c>
    </row>
    <row r="408" spans="1:32">
      <c r="A408" t="s">
        <v>1318</v>
      </c>
      <c r="B408" s="3">
        <v>45713</v>
      </c>
      <c r="C408" t="str">
        <f t="shared" si="55"/>
        <v>February</v>
      </c>
      <c r="D408">
        <f t="shared" si="56"/>
        <v>2025</v>
      </c>
      <c r="E408" s="3">
        <v>45713</v>
      </c>
      <c r="F408">
        <f t="shared" si="54"/>
        <v>0</v>
      </c>
      <c r="G408" t="s">
        <v>1319</v>
      </c>
      <c r="H408" t="s">
        <v>264</v>
      </c>
      <c r="I408" t="s">
        <v>37</v>
      </c>
      <c r="J408" t="s">
        <v>63</v>
      </c>
      <c r="K408" t="s">
        <v>190</v>
      </c>
      <c r="L408" t="s">
        <v>191</v>
      </c>
      <c r="M408" t="s">
        <v>41</v>
      </c>
      <c r="N408" t="s">
        <v>57</v>
      </c>
      <c r="O408" t="s">
        <v>1320</v>
      </c>
      <c r="P408" t="s">
        <v>59</v>
      </c>
      <c r="Q408">
        <v>2</v>
      </c>
      <c r="R408">
        <v>3924.2</v>
      </c>
      <c r="S408" s="6">
        <v>0.25</v>
      </c>
      <c r="T408" s="6">
        <f t="shared" si="57"/>
        <v>0.25</v>
      </c>
      <c r="U408">
        <v>5886.3</v>
      </c>
      <c r="V408">
        <f t="shared" si="58"/>
        <v>5886.2999999999993</v>
      </c>
      <c r="W408" s="6">
        <f t="shared" si="59"/>
        <v>0</v>
      </c>
      <c r="X408">
        <v>3621.76</v>
      </c>
      <c r="Y408">
        <v>2264.54</v>
      </c>
      <c r="Z408">
        <f t="shared" si="60"/>
        <v>2264.5399999999991</v>
      </c>
      <c r="AA408" s="6">
        <f t="shared" si="61"/>
        <v>0</v>
      </c>
      <c r="AB408">
        <f t="shared" si="62"/>
        <v>0.38471365713606159</v>
      </c>
      <c r="AC408" t="s">
        <v>111</v>
      </c>
      <c r="AD408" t="s">
        <v>103</v>
      </c>
      <c r="AE408" t="s">
        <v>2827</v>
      </c>
      <c r="AF408" t="s">
        <v>2814</v>
      </c>
    </row>
    <row r="409" spans="1:32">
      <c r="A409" t="s">
        <v>1321</v>
      </c>
      <c r="B409" s="3">
        <v>45631</v>
      </c>
      <c r="C409" t="str">
        <f t="shared" si="55"/>
        <v>December</v>
      </c>
      <c r="D409">
        <f t="shared" si="56"/>
        <v>2024</v>
      </c>
      <c r="E409" s="3">
        <v>45425</v>
      </c>
      <c r="F409">
        <f t="shared" si="54"/>
        <v>-206</v>
      </c>
      <c r="G409" t="s">
        <v>1322</v>
      </c>
      <c r="H409" t="s">
        <v>118</v>
      </c>
      <c r="I409" t="s">
        <v>90</v>
      </c>
      <c r="J409" t="s">
        <v>63</v>
      </c>
      <c r="K409" t="s">
        <v>190</v>
      </c>
      <c r="L409" t="s">
        <v>191</v>
      </c>
      <c r="M409" t="s">
        <v>28</v>
      </c>
      <c r="N409" t="s">
        <v>91</v>
      </c>
      <c r="O409" t="s">
        <v>1323</v>
      </c>
      <c r="P409" t="s">
        <v>31</v>
      </c>
      <c r="Q409">
        <v>3</v>
      </c>
      <c r="R409">
        <v>2644.55</v>
      </c>
      <c r="S409" s="6">
        <v>0</v>
      </c>
      <c r="T409" s="6">
        <f t="shared" si="57"/>
        <v>0</v>
      </c>
      <c r="U409">
        <v>7933.65</v>
      </c>
      <c r="V409">
        <f t="shared" si="58"/>
        <v>7933.6500000000005</v>
      </c>
      <c r="W409" s="6">
        <f t="shared" si="59"/>
        <v>0</v>
      </c>
      <c r="X409">
        <v>5698.42</v>
      </c>
      <c r="Y409">
        <v>2235.23</v>
      </c>
      <c r="Z409">
        <f t="shared" si="60"/>
        <v>2235.2300000000005</v>
      </c>
      <c r="AA409" s="6">
        <f t="shared" si="61"/>
        <v>0</v>
      </c>
      <c r="AB409">
        <f t="shared" si="62"/>
        <v>0.2817404347305465</v>
      </c>
      <c r="AC409" t="s">
        <v>32</v>
      </c>
      <c r="AD409" t="s">
        <v>33</v>
      </c>
      <c r="AE409" t="s">
        <v>2826</v>
      </c>
      <c r="AF409" s="10" t="s">
        <v>2790</v>
      </c>
    </row>
    <row r="410" spans="1:32">
      <c r="A410" t="s">
        <v>1324</v>
      </c>
      <c r="B410" s="3">
        <v>45870</v>
      </c>
      <c r="C410" t="str">
        <f t="shared" si="55"/>
        <v>August</v>
      </c>
      <c r="D410">
        <f t="shared" si="56"/>
        <v>2025</v>
      </c>
      <c r="E410" s="3">
        <v>45872</v>
      </c>
      <c r="F410">
        <f t="shared" si="54"/>
        <v>2</v>
      </c>
      <c r="G410" t="s">
        <v>1325</v>
      </c>
      <c r="H410" t="s">
        <v>132</v>
      </c>
      <c r="I410" t="s">
        <v>24</v>
      </c>
      <c r="J410" t="s">
        <v>63</v>
      </c>
      <c r="K410" t="s">
        <v>64</v>
      </c>
      <c r="L410" t="s">
        <v>65</v>
      </c>
      <c r="M410" t="s">
        <v>41</v>
      </c>
      <c r="N410" t="s">
        <v>66</v>
      </c>
      <c r="O410" t="s">
        <v>1326</v>
      </c>
      <c r="P410" t="s">
        <v>50</v>
      </c>
      <c r="Q410">
        <v>4</v>
      </c>
      <c r="R410">
        <v>1773.46</v>
      </c>
      <c r="S410" s="6">
        <v>0</v>
      </c>
      <c r="T410" s="6">
        <f t="shared" si="57"/>
        <v>0</v>
      </c>
      <c r="U410">
        <v>7093.84</v>
      </c>
      <c r="V410">
        <f t="shared" si="58"/>
        <v>7093.84</v>
      </c>
      <c r="W410" s="6">
        <f t="shared" si="59"/>
        <v>0</v>
      </c>
      <c r="X410">
        <v>4587.49</v>
      </c>
      <c r="Y410">
        <v>2506.35</v>
      </c>
      <c r="Z410">
        <f t="shared" si="60"/>
        <v>2506.3500000000004</v>
      </c>
      <c r="AA410" s="6">
        <f t="shared" si="61"/>
        <v>0</v>
      </c>
      <c r="AB410">
        <f t="shared" si="62"/>
        <v>0.35331357910525191</v>
      </c>
      <c r="AC410" t="s">
        <v>155</v>
      </c>
      <c r="AD410" t="s">
        <v>103</v>
      </c>
      <c r="AE410" t="s">
        <v>2827</v>
      </c>
      <c r="AF410" s="10" t="s">
        <v>2821</v>
      </c>
    </row>
    <row r="411" spans="1:32">
      <c r="A411" t="s">
        <v>1327</v>
      </c>
      <c r="B411" s="3">
        <v>45701</v>
      </c>
      <c r="C411" t="str">
        <f t="shared" si="55"/>
        <v>February</v>
      </c>
      <c r="D411">
        <f t="shared" si="56"/>
        <v>2025</v>
      </c>
      <c r="E411" s="3">
        <v>45703</v>
      </c>
      <c r="F411">
        <f t="shared" si="54"/>
        <v>2</v>
      </c>
      <c r="G411" t="s">
        <v>1328</v>
      </c>
      <c r="H411" t="s">
        <v>23</v>
      </c>
      <c r="I411" t="s">
        <v>24</v>
      </c>
      <c r="J411" t="s">
        <v>38</v>
      </c>
      <c r="K411" t="s">
        <v>166</v>
      </c>
      <c r="L411" t="s">
        <v>167</v>
      </c>
      <c r="M411" t="s">
        <v>74</v>
      </c>
      <c r="N411" t="s">
        <v>75</v>
      </c>
      <c r="O411" t="s">
        <v>1329</v>
      </c>
      <c r="P411" t="s">
        <v>44</v>
      </c>
      <c r="Q411">
        <v>1</v>
      </c>
      <c r="R411">
        <v>3025.46</v>
      </c>
      <c r="S411" s="6">
        <v>0.25</v>
      </c>
      <c r="T411" s="6">
        <f t="shared" si="57"/>
        <v>0.25</v>
      </c>
      <c r="U411">
        <v>2269.1</v>
      </c>
      <c r="V411">
        <f t="shared" si="58"/>
        <v>2269.0950000000003</v>
      </c>
      <c r="W411" s="6">
        <f t="shared" si="59"/>
        <v>-4.999999999654392E-3</v>
      </c>
      <c r="X411">
        <v>1593.59</v>
      </c>
      <c r="Y411">
        <v>675.51</v>
      </c>
      <c r="Z411">
        <f t="shared" si="60"/>
        <v>675.50500000000034</v>
      </c>
      <c r="AA411" s="6">
        <f t="shared" si="61"/>
        <v>-4.999999999654392E-3</v>
      </c>
      <c r="AB411">
        <f t="shared" si="62"/>
        <v>0.29769798091309541</v>
      </c>
      <c r="AC411" t="s">
        <v>102</v>
      </c>
      <c r="AD411" t="s">
        <v>103</v>
      </c>
      <c r="AE411" t="s">
        <v>2827</v>
      </c>
      <c r="AF411" t="s">
        <v>2807</v>
      </c>
    </row>
    <row r="412" spans="1:32">
      <c r="A412" t="s">
        <v>1330</v>
      </c>
      <c r="B412" s="3">
        <v>45630</v>
      </c>
      <c r="C412" t="str">
        <f t="shared" si="55"/>
        <v>December</v>
      </c>
      <c r="D412">
        <f t="shared" si="56"/>
        <v>2024</v>
      </c>
      <c r="E412" s="3">
        <v>45402</v>
      </c>
      <c r="F412">
        <f t="shared" si="54"/>
        <v>-228</v>
      </c>
      <c r="G412" t="s">
        <v>1331</v>
      </c>
      <c r="H412" t="s">
        <v>162</v>
      </c>
      <c r="I412" t="s">
        <v>24</v>
      </c>
      <c r="J412" t="s">
        <v>63</v>
      </c>
      <c r="K412" t="s">
        <v>190</v>
      </c>
      <c r="L412" t="s">
        <v>191</v>
      </c>
      <c r="M412" t="s">
        <v>41</v>
      </c>
      <c r="N412" t="s">
        <v>42</v>
      </c>
      <c r="O412" t="s">
        <v>1332</v>
      </c>
      <c r="P412" t="s">
        <v>50</v>
      </c>
      <c r="Q412">
        <v>9</v>
      </c>
      <c r="R412">
        <v>1302.6099999999999</v>
      </c>
      <c r="S412" s="6">
        <v>0.2</v>
      </c>
      <c r="T412" s="6">
        <f t="shared" si="57"/>
        <v>0.2</v>
      </c>
      <c r="U412">
        <v>9378.7900000000009</v>
      </c>
      <c r="V412">
        <f t="shared" si="58"/>
        <v>9378.7919999999995</v>
      </c>
      <c r="W412" s="6">
        <f t="shared" si="59"/>
        <v>1.9999999985884642E-3</v>
      </c>
      <c r="X412">
        <v>6774.48</v>
      </c>
      <c r="Y412">
        <v>2604.31</v>
      </c>
      <c r="Z412">
        <f t="shared" si="60"/>
        <v>2604.3119999999999</v>
      </c>
      <c r="AA412" s="6">
        <f t="shared" si="61"/>
        <v>1.9999999999527063E-3</v>
      </c>
      <c r="AB412">
        <f t="shared" si="62"/>
        <v>0.27768096360384154</v>
      </c>
      <c r="AC412" t="s">
        <v>32</v>
      </c>
      <c r="AD412" t="s">
        <v>33</v>
      </c>
      <c r="AE412" t="s">
        <v>2826</v>
      </c>
      <c r="AF412" s="10" t="s">
        <v>2790</v>
      </c>
    </row>
    <row r="413" spans="1:32">
      <c r="A413" t="s">
        <v>1333</v>
      </c>
      <c r="B413" s="3">
        <v>45892</v>
      </c>
      <c r="C413" t="str">
        <f t="shared" si="55"/>
        <v>August</v>
      </c>
      <c r="D413">
        <f t="shared" si="56"/>
        <v>2025</v>
      </c>
      <c r="E413" s="3">
        <v>45897</v>
      </c>
      <c r="F413">
        <f t="shared" si="54"/>
        <v>5</v>
      </c>
      <c r="G413" t="s">
        <v>1334</v>
      </c>
      <c r="H413" t="s">
        <v>53</v>
      </c>
      <c r="I413" t="s">
        <v>95</v>
      </c>
      <c r="J413" t="s">
        <v>63</v>
      </c>
      <c r="K413" t="s">
        <v>26</v>
      </c>
      <c r="L413" t="s">
        <v>109</v>
      </c>
      <c r="M413" t="s">
        <v>41</v>
      </c>
      <c r="N413" t="s">
        <v>42</v>
      </c>
      <c r="O413" t="s">
        <v>1335</v>
      </c>
      <c r="P413" t="s">
        <v>50</v>
      </c>
      <c r="Q413">
        <v>1</v>
      </c>
      <c r="R413">
        <v>4167.8100000000004</v>
      </c>
      <c r="S413" s="6">
        <v>0.2</v>
      </c>
      <c r="T413" s="6">
        <f t="shared" si="57"/>
        <v>0.2</v>
      </c>
      <c r="U413">
        <v>3334.25</v>
      </c>
      <c r="V413">
        <f t="shared" si="58"/>
        <v>3334.2480000000005</v>
      </c>
      <c r="W413" s="6">
        <f t="shared" si="59"/>
        <v>-1.9999999994979589E-3</v>
      </c>
      <c r="X413">
        <v>2768.77</v>
      </c>
      <c r="Y413">
        <v>565.48</v>
      </c>
      <c r="Z413">
        <f t="shared" si="60"/>
        <v>565.47800000000052</v>
      </c>
      <c r="AA413" s="6">
        <f t="shared" si="61"/>
        <v>-1.9999999994979589E-3</v>
      </c>
      <c r="AB413">
        <f t="shared" si="62"/>
        <v>0.16959686262089696</v>
      </c>
      <c r="AC413" t="s">
        <v>155</v>
      </c>
      <c r="AD413" t="s">
        <v>103</v>
      </c>
      <c r="AE413" t="s">
        <v>2827</v>
      </c>
      <c r="AF413" s="10" t="s">
        <v>2821</v>
      </c>
    </row>
    <row r="414" spans="1:32">
      <c r="A414" t="s">
        <v>1336</v>
      </c>
      <c r="B414" s="3">
        <v>45313</v>
      </c>
      <c r="C414" t="str">
        <f t="shared" si="55"/>
        <v>January</v>
      </c>
      <c r="D414">
        <f t="shared" si="56"/>
        <v>2024</v>
      </c>
      <c r="E414" s="3">
        <v>45321</v>
      </c>
      <c r="F414">
        <f t="shared" si="54"/>
        <v>8</v>
      </c>
      <c r="G414" t="s">
        <v>1337</v>
      </c>
      <c r="H414" t="s">
        <v>47</v>
      </c>
      <c r="I414" t="s">
        <v>90</v>
      </c>
      <c r="J414" t="s">
        <v>54</v>
      </c>
      <c r="K414" t="s">
        <v>175</v>
      </c>
      <c r="L414" t="s">
        <v>176</v>
      </c>
      <c r="M414" t="s">
        <v>41</v>
      </c>
      <c r="N414" t="s">
        <v>66</v>
      </c>
      <c r="O414" t="s">
        <v>1338</v>
      </c>
      <c r="P414" t="s">
        <v>44</v>
      </c>
      <c r="Q414">
        <v>1</v>
      </c>
      <c r="R414">
        <v>2111.39</v>
      </c>
      <c r="S414" s="6">
        <v>0.25</v>
      </c>
      <c r="T414" s="6">
        <f t="shared" si="57"/>
        <v>0.25</v>
      </c>
      <c r="U414">
        <v>1583.54</v>
      </c>
      <c r="V414">
        <f t="shared" si="58"/>
        <v>1583.5425</v>
      </c>
      <c r="W414" s="6">
        <f t="shared" si="59"/>
        <v>2.5000000000545697E-3</v>
      </c>
      <c r="X414">
        <v>1014.19</v>
      </c>
      <c r="Y414">
        <v>569.35</v>
      </c>
      <c r="Z414">
        <f t="shared" si="60"/>
        <v>569.35249999999996</v>
      </c>
      <c r="AA414" s="6">
        <f t="shared" si="61"/>
        <v>2.4999999999408828E-3</v>
      </c>
      <c r="AB414">
        <f t="shared" si="62"/>
        <v>0.35954355503562424</v>
      </c>
      <c r="AC414" t="s">
        <v>32</v>
      </c>
      <c r="AD414" t="s">
        <v>33</v>
      </c>
      <c r="AE414" t="s">
        <v>2828</v>
      </c>
    </row>
    <row r="415" spans="1:32">
      <c r="A415" t="s">
        <v>1339</v>
      </c>
      <c r="B415" s="3">
        <v>45882</v>
      </c>
      <c r="C415" t="str">
        <f t="shared" si="55"/>
        <v>August</v>
      </c>
      <c r="D415">
        <f t="shared" si="56"/>
        <v>2025</v>
      </c>
      <c r="E415" s="3">
        <v>45886</v>
      </c>
      <c r="F415">
        <f t="shared" si="54"/>
        <v>4</v>
      </c>
      <c r="G415" t="s">
        <v>1340</v>
      </c>
      <c r="H415" t="s">
        <v>79</v>
      </c>
      <c r="I415" t="s">
        <v>95</v>
      </c>
      <c r="J415" t="s">
        <v>63</v>
      </c>
      <c r="K415" t="s">
        <v>72</v>
      </c>
      <c r="L415" t="s">
        <v>73</v>
      </c>
      <c r="M415" t="s">
        <v>74</v>
      </c>
      <c r="N415" t="s">
        <v>75</v>
      </c>
      <c r="O415" t="s">
        <v>1341</v>
      </c>
      <c r="P415" t="s">
        <v>31</v>
      </c>
      <c r="Q415">
        <v>8</v>
      </c>
      <c r="R415">
        <v>1918.23</v>
      </c>
      <c r="S415" s="6">
        <v>0</v>
      </c>
      <c r="T415" s="6">
        <f t="shared" si="57"/>
        <v>0</v>
      </c>
      <c r="U415">
        <v>15345.84</v>
      </c>
      <c r="V415">
        <f t="shared" si="58"/>
        <v>15345.84</v>
      </c>
      <c r="W415" s="6">
        <f t="shared" si="59"/>
        <v>0</v>
      </c>
      <c r="X415">
        <v>10735.33</v>
      </c>
      <c r="Y415">
        <v>4610.51</v>
      </c>
      <c r="Z415">
        <f t="shared" si="60"/>
        <v>4610.51</v>
      </c>
      <c r="AA415" s="6">
        <f t="shared" si="61"/>
        <v>0</v>
      </c>
      <c r="AB415">
        <f t="shared" si="62"/>
        <v>0.30044037993358463</v>
      </c>
      <c r="AC415" t="s">
        <v>111</v>
      </c>
      <c r="AD415" t="s">
        <v>68</v>
      </c>
      <c r="AE415" t="s">
        <v>2827</v>
      </c>
      <c r="AF415" t="s">
        <v>2804</v>
      </c>
    </row>
    <row r="416" spans="1:32">
      <c r="A416" t="s">
        <v>1342</v>
      </c>
      <c r="B416" s="3">
        <v>45533</v>
      </c>
      <c r="C416" t="str">
        <f t="shared" si="55"/>
        <v>August</v>
      </c>
      <c r="D416">
        <f t="shared" si="56"/>
        <v>2024</v>
      </c>
      <c r="E416" s="3">
        <v>45534</v>
      </c>
      <c r="F416">
        <f t="shared" si="54"/>
        <v>1</v>
      </c>
      <c r="G416" t="s">
        <v>1343</v>
      </c>
      <c r="H416" t="s">
        <v>53</v>
      </c>
      <c r="I416" t="s">
        <v>95</v>
      </c>
      <c r="J416" t="s">
        <v>38</v>
      </c>
      <c r="K416" t="s">
        <v>166</v>
      </c>
      <c r="L416" t="s">
        <v>167</v>
      </c>
      <c r="M416" t="s">
        <v>28</v>
      </c>
      <c r="N416" t="s">
        <v>124</v>
      </c>
      <c r="O416" t="s">
        <v>1344</v>
      </c>
      <c r="P416" t="s">
        <v>50</v>
      </c>
      <c r="Q416">
        <v>4</v>
      </c>
      <c r="R416">
        <v>2484.08</v>
      </c>
      <c r="S416" s="6">
        <v>0.05</v>
      </c>
      <c r="T416" s="6">
        <f t="shared" si="57"/>
        <v>0.05</v>
      </c>
      <c r="U416">
        <v>9439.5</v>
      </c>
      <c r="V416">
        <f t="shared" si="58"/>
        <v>9439.503999999999</v>
      </c>
      <c r="W416" s="6">
        <f t="shared" si="59"/>
        <v>3.9999999989959178E-3</v>
      </c>
      <c r="X416">
        <v>5519.39</v>
      </c>
      <c r="Y416">
        <v>3920.11</v>
      </c>
      <c r="Z416">
        <f t="shared" si="60"/>
        <v>3920.1139999999987</v>
      </c>
      <c r="AA416" s="6">
        <f t="shared" si="61"/>
        <v>3.9999999985411705E-3</v>
      </c>
      <c r="AB416">
        <f t="shared" si="62"/>
        <v>0.41528813378330037</v>
      </c>
      <c r="AC416" t="s">
        <v>32</v>
      </c>
      <c r="AD416" t="s">
        <v>33</v>
      </c>
      <c r="AE416" t="s">
        <v>2828</v>
      </c>
    </row>
    <row r="417" spans="1:32">
      <c r="A417" t="s">
        <v>1345</v>
      </c>
      <c r="B417" s="3">
        <v>45316</v>
      </c>
      <c r="C417" t="str">
        <f t="shared" si="55"/>
        <v>January</v>
      </c>
      <c r="D417">
        <f t="shared" si="56"/>
        <v>2024</v>
      </c>
      <c r="E417" s="3">
        <v>45318</v>
      </c>
      <c r="F417">
        <f t="shared" si="54"/>
        <v>2</v>
      </c>
      <c r="G417" t="s">
        <v>1346</v>
      </c>
      <c r="H417" t="s">
        <v>128</v>
      </c>
      <c r="I417" t="s">
        <v>90</v>
      </c>
      <c r="J417" t="s">
        <v>54</v>
      </c>
      <c r="K417" t="s">
        <v>175</v>
      </c>
      <c r="L417" t="s">
        <v>176</v>
      </c>
      <c r="M417" t="s">
        <v>28</v>
      </c>
      <c r="N417" t="s">
        <v>124</v>
      </c>
      <c r="O417" t="s">
        <v>1347</v>
      </c>
      <c r="P417" t="s">
        <v>44</v>
      </c>
      <c r="Q417">
        <v>7</v>
      </c>
      <c r="R417">
        <v>1727.26</v>
      </c>
      <c r="S417" s="6">
        <v>0.15</v>
      </c>
      <c r="T417" s="6">
        <f t="shared" si="57"/>
        <v>0.15</v>
      </c>
      <c r="U417">
        <v>10277.200000000001</v>
      </c>
      <c r="V417">
        <f t="shared" si="58"/>
        <v>10277.197</v>
      </c>
      <c r="W417" s="6">
        <f t="shared" si="59"/>
        <v>-3.0000000006111804E-3</v>
      </c>
      <c r="X417">
        <v>7906.5</v>
      </c>
      <c r="Y417">
        <v>2370.6999999999998</v>
      </c>
      <c r="Z417">
        <f t="shared" si="60"/>
        <v>2370.6970000000001</v>
      </c>
      <c r="AA417" s="6">
        <f t="shared" si="61"/>
        <v>-2.9999999997016857E-3</v>
      </c>
      <c r="AB417">
        <f t="shared" si="62"/>
        <v>0.23067544584384245</v>
      </c>
      <c r="AC417" t="s">
        <v>32</v>
      </c>
      <c r="AD417" t="s">
        <v>103</v>
      </c>
      <c r="AE417" t="s">
        <v>2827</v>
      </c>
      <c r="AF417" t="s">
        <v>103</v>
      </c>
    </row>
    <row r="418" spans="1:32">
      <c r="A418" t="s">
        <v>1348</v>
      </c>
      <c r="B418" s="3">
        <v>45870</v>
      </c>
      <c r="C418" t="str">
        <f t="shared" si="55"/>
        <v>August</v>
      </c>
      <c r="D418">
        <f t="shared" si="56"/>
        <v>2025</v>
      </c>
      <c r="E418" s="3">
        <v>45673</v>
      </c>
      <c r="F418">
        <f t="shared" si="54"/>
        <v>-197</v>
      </c>
      <c r="G418" t="s">
        <v>1349</v>
      </c>
      <c r="H418" t="s">
        <v>79</v>
      </c>
      <c r="I418" t="s">
        <v>24</v>
      </c>
      <c r="J418" t="s">
        <v>54</v>
      </c>
      <c r="K418" t="s">
        <v>55</v>
      </c>
      <c r="L418" t="s">
        <v>56</v>
      </c>
      <c r="M418" t="s">
        <v>41</v>
      </c>
      <c r="N418" t="s">
        <v>57</v>
      </c>
      <c r="O418" t="s">
        <v>1350</v>
      </c>
      <c r="P418" t="s">
        <v>50</v>
      </c>
      <c r="Q418">
        <v>8</v>
      </c>
      <c r="R418">
        <v>638.95000000000005</v>
      </c>
      <c r="S418" s="6">
        <v>0.25</v>
      </c>
      <c r="T418" s="6">
        <f t="shared" si="57"/>
        <v>0.25</v>
      </c>
      <c r="U418">
        <v>3833.7</v>
      </c>
      <c r="V418">
        <f t="shared" si="58"/>
        <v>3833.7000000000003</v>
      </c>
      <c r="W418" s="6">
        <f t="shared" si="59"/>
        <v>0</v>
      </c>
      <c r="X418">
        <v>2886.35</v>
      </c>
      <c r="Y418">
        <v>947.35</v>
      </c>
      <c r="Z418">
        <f t="shared" si="60"/>
        <v>947.35000000000036</v>
      </c>
      <c r="AA418" s="6">
        <f t="shared" si="61"/>
        <v>0</v>
      </c>
      <c r="AB418">
        <f t="shared" si="62"/>
        <v>0.24711114589039318</v>
      </c>
      <c r="AC418" t="s">
        <v>32</v>
      </c>
      <c r="AD418" t="s">
        <v>33</v>
      </c>
      <c r="AE418" t="s">
        <v>2826</v>
      </c>
      <c r="AF418" s="10" t="s">
        <v>2790</v>
      </c>
    </row>
    <row r="419" spans="1:32">
      <c r="A419" t="s">
        <v>1351</v>
      </c>
      <c r="B419" s="3">
        <v>45686</v>
      </c>
      <c r="C419" t="str">
        <f t="shared" si="55"/>
        <v>January</v>
      </c>
      <c r="D419">
        <f t="shared" si="56"/>
        <v>2025</v>
      </c>
      <c r="E419" s="3">
        <v>45693</v>
      </c>
      <c r="F419">
        <f t="shared" si="54"/>
        <v>7</v>
      </c>
      <c r="G419" t="s">
        <v>1352</v>
      </c>
      <c r="H419" t="s">
        <v>36</v>
      </c>
      <c r="I419" t="s">
        <v>24</v>
      </c>
      <c r="J419" t="s">
        <v>63</v>
      </c>
      <c r="K419" t="s">
        <v>180</v>
      </c>
      <c r="L419" t="s">
        <v>181</v>
      </c>
      <c r="M419" t="s">
        <v>28</v>
      </c>
      <c r="N419" t="s">
        <v>48</v>
      </c>
      <c r="O419" t="s">
        <v>1353</v>
      </c>
      <c r="P419" t="s">
        <v>50</v>
      </c>
      <c r="Q419">
        <v>6</v>
      </c>
      <c r="R419">
        <v>3863</v>
      </c>
      <c r="S419" s="6">
        <v>0.2</v>
      </c>
      <c r="T419" s="6">
        <f t="shared" si="57"/>
        <v>0.2</v>
      </c>
      <c r="U419">
        <v>18542.400000000001</v>
      </c>
      <c r="V419">
        <f t="shared" si="58"/>
        <v>18542.400000000001</v>
      </c>
      <c r="W419" s="6">
        <f t="shared" si="59"/>
        <v>0</v>
      </c>
      <c r="X419">
        <v>11193.75</v>
      </c>
      <c r="Y419">
        <v>7348.65</v>
      </c>
      <c r="Z419">
        <f t="shared" si="60"/>
        <v>7348.6500000000015</v>
      </c>
      <c r="AA419" s="6">
        <f t="shared" si="61"/>
        <v>0</v>
      </c>
      <c r="AB419">
        <f t="shared" si="62"/>
        <v>0.39631601087237905</v>
      </c>
      <c r="AC419" t="s">
        <v>32</v>
      </c>
      <c r="AD419" t="s">
        <v>33</v>
      </c>
      <c r="AE419" t="s">
        <v>2828</v>
      </c>
    </row>
    <row r="420" spans="1:32">
      <c r="A420" t="s">
        <v>1354</v>
      </c>
      <c r="B420" s="3">
        <v>45605</v>
      </c>
      <c r="C420" t="str">
        <f t="shared" si="55"/>
        <v>November</v>
      </c>
      <c r="D420">
        <f t="shared" si="56"/>
        <v>2024</v>
      </c>
      <c r="E420" s="3">
        <v>45613</v>
      </c>
      <c r="F420">
        <f t="shared" si="54"/>
        <v>8</v>
      </c>
      <c r="G420" t="s">
        <v>1355</v>
      </c>
      <c r="H420" t="s">
        <v>132</v>
      </c>
      <c r="I420" t="s">
        <v>90</v>
      </c>
      <c r="J420" t="s">
        <v>38</v>
      </c>
      <c r="K420" t="s">
        <v>39</v>
      </c>
      <c r="L420" t="s">
        <v>40</v>
      </c>
      <c r="M420" t="s">
        <v>74</v>
      </c>
      <c r="N420" t="s">
        <v>80</v>
      </c>
      <c r="O420" t="s">
        <v>1356</v>
      </c>
      <c r="P420" t="s">
        <v>59</v>
      </c>
      <c r="Q420">
        <v>6</v>
      </c>
      <c r="R420">
        <v>3660.4</v>
      </c>
      <c r="S420" s="6">
        <v>0</v>
      </c>
      <c r="T420" s="6">
        <f t="shared" si="57"/>
        <v>0</v>
      </c>
      <c r="U420">
        <v>21962.400000000001</v>
      </c>
      <c r="V420">
        <f t="shared" si="58"/>
        <v>21962.400000000001</v>
      </c>
      <c r="W420" s="6">
        <f t="shared" si="59"/>
        <v>0</v>
      </c>
      <c r="X420">
        <v>15331.99</v>
      </c>
      <c r="Y420">
        <v>6630.41</v>
      </c>
      <c r="Z420">
        <f t="shared" si="60"/>
        <v>6630.4100000000017</v>
      </c>
      <c r="AA420" s="6">
        <f t="shared" si="61"/>
        <v>0</v>
      </c>
      <c r="AB420">
        <f t="shared" si="62"/>
        <v>0.3018982442720286</v>
      </c>
      <c r="AC420" t="s">
        <v>155</v>
      </c>
      <c r="AD420" t="s">
        <v>68</v>
      </c>
      <c r="AE420" t="s">
        <v>2827</v>
      </c>
      <c r="AF420" s="10" t="s">
        <v>2796</v>
      </c>
    </row>
    <row r="421" spans="1:32">
      <c r="A421" t="s">
        <v>1357</v>
      </c>
      <c r="B421" s="3">
        <v>45926</v>
      </c>
      <c r="C421" t="str">
        <f t="shared" si="55"/>
        <v>September</v>
      </c>
      <c r="D421">
        <f t="shared" si="56"/>
        <v>2025</v>
      </c>
      <c r="E421" s="3">
        <v>45930</v>
      </c>
      <c r="F421">
        <f t="shared" si="54"/>
        <v>4</v>
      </c>
      <c r="G421" t="s">
        <v>1358</v>
      </c>
      <c r="H421" t="s">
        <v>132</v>
      </c>
      <c r="I421" t="s">
        <v>95</v>
      </c>
      <c r="J421" t="s">
        <v>25</v>
      </c>
      <c r="K421" t="s">
        <v>236</v>
      </c>
      <c r="L421" t="s">
        <v>237</v>
      </c>
      <c r="M421" t="s">
        <v>74</v>
      </c>
      <c r="N421" t="s">
        <v>171</v>
      </c>
      <c r="O421" t="s">
        <v>1359</v>
      </c>
      <c r="P421" t="s">
        <v>44</v>
      </c>
      <c r="Q421">
        <v>2</v>
      </c>
      <c r="R421">
        <v>688.83</v>
      </c>
      <c r="S421" s="6">
        <v>0.05</v>
      </c>
      <c r="T421" s="6">
        <f t="shared" si="57"/>
        <v>0.05</v>
      </c>
      <c r="U421">
        <v>1308.78</v>
      </c>
      <c r="V421">
        <f t="shared" si="58"/>
        <v>1308.777</v>
      </c>
      <c r="W421" s="6">
        <f t="shared" si="59"/>
        <v>-2.9999999999290594E-3</v>
      </c>
      <c r="X421">
        <v>843</v>
      </c>
      <c r="Y421">
        <v>465.78</v>
      </c>
      <c r="Z421">
        <f t="shared" si="60"/>
        <v>465.77700000000004</v>
      </c>
      <c r="AA421" s="6">
        <f t="shared" si="61"/>
        <v>-2.9999999999290594E-3</v>
      </c>
      <c r="AB421">
        <f t="shared" si="62"/>
        <v>0.35588721378813964</v>
      </c>
      <c r="AC421" t="s">
        <v>32</v>
      </c>
      <c r="AD421" t="s">
        <v>33</v>
      </c>
      <c r="AE421" t="s">
        <v>2828</v>
      </c>
    </row>
    <row r="422" spans="1:32">
      <c r="A422" t="s">
        <v>1360</v>
      </c>
      <c r="B422" s="3">
        <v>45734</v>
      </c>
      <c r="C422" t="str">
        <f t="shared" si="55"/>
        <v>March</v>
      </c>
      <c r="D422">
        <f t="shared" si="56"/>
        <v>2025</v>
      </c>
      <c r="E422" s="3">
        <v>45735</v>
      </c>
      <c r="F422">
        <f t="shared" si="54"/>
        <v>1</v>
      </c>
      <c r="G422" t="s">
        <v>1361</v>
      </c>
      <c r="H422" t="s">
        <v>47</v>
      </c>
      <c r="I422" t="s">
        <v>90</v>
      </c>
      <c r="J422" t="s">
        <v>54</v>
      </c>
      <c r="K422" t="s">
        <v>247</v>
      </c>
      <c r="L422" t="s">
        <v>248</v>
      </c>
      <c r="M422" t="s">
        <v>74</v>
      </c>
      <c r="N422" t="s">
        <v>274</v>
      </c>
      <c r="O422" t="s">
        <v>1362</v>
      </c>
      <c r="P422" t="s">
        <v>59</v>
      </c>
      <c r="Q422">
        <v>2</v>
      </c>
      <c r="R422">
        <v>1209.99</v>
      </c>
      <c r="S422" s="6">
        <v>0.25</v>
      </c>
      <c r="T422" s="6">
        <f t="shared" si="57"/>
        <v>0.25</v>
      </c>
      <c r="U422">
        <v>1814.99</v>
      </c>
      <c r="V422">
        <f t="shared" si="58"/>
        <v>1814.9850000000001</v>
      </c>
      <c r="W422" s="6">
        <f t="shared" si="59"/>
        <v>-4.9999999998817657E-3</v>
      </c>
      <c r="X422">
        <v>1120.06</v>
      </c>
      <c r="Y422">
        <v>694.93</v>
      </c>
      <c r="Z422">
        <f t="shared" si="60"/>
        <v>694.92500000000018</v>
      </c>
      <c r="AA422" s="6">
        <f t="shared" si="61"/>
        <v>-4.9999999997680789E-3</v>
      </c>
      <c r="AB422">
        <f t="shared" si="62"/>
        <v>0.38288195219244242</v>
      </c>
      <c r="AC422" t="s">
        <v>111</v>
      </c>
      <c r="AD422" t="s">
        <v>68</v>
      </c>
      <c r="AE422" t="s">
        <v>2827</v>
      </c>
      <c r="AF422" t="s">
        <v>2804</v>
      </c>
    </row>
    <row r="423" spans="1:32">
      <c r="A423" t="s">
        <v>1363</v>
      </c>
      <c r="B423" s="3">
        <v>45822</v>
      </c>
      <c r="C423" t="str">
        <f t="shared" si="55"/>
        <v>June</v>
      </c>
      <c r="D423">
        <f t="shared" si="56"/>
        <v>2025</v>
      </c>
      <c r="E423" s="3">
        <v>45827</v>
      </c>
      <c r="F423">
        <f t="shared" si="54"/>
        <v>5</v>
      </c>
      <c r="G423" t="s">
        <v>1364</v>
      </c>
      <c r="H423" t="s">
        <v>141</v>
      </c>
      <c r="I423" t="s">
        <v>37</v>
      </c>
      <c r="J423" t="s">
        <v>25</v>
      </c>
      <c r="K423" t="s">
        <v>350</v>
      </c>
      <c r="L423" t="s">
        <v>351</v>
      </c>
      <c r="M423" t="s">
        <v>28</v>
      </c>
      <c r="N423" t="s">
        <v>153</v>
      </c>
      <c r="O423" t="s">
        <v>1365</v>
      </c>
      <c r="P423" t="s">
        <v>44</v>
      </c>
      <c r="Q423">
        <v>3</v>
      </c>
      <c r="R423">
        <v>1037.45</v>
      </c>
      <c r="S423" s="6">
        <v>0.2</v>
      </c>
      <c r="T423" s="6">
        <f t="shared" si="57"/>
        <v>0.2</v>
      </c>
      <c r="U423">
        <v>2489.88</v>
      </c>
      <c r="V423">
        <f t="shared" si="58"/>
        <v>2489.8800000000006</v>
      </c>
      <c r="W423" s="6">
        <f t="shared" si="59"/>
        <v>0</v>
      </c>
      <c r="X423">
        <v>1707.52</v>
      </c>
      <c r="Y423">
        <v>782.36</v>
      </c>
      <c r="Z423">
        <f t="shared" si="60"/>
        <v>782.36000000000058</v>
      </c>
      <c r="AA423" s="6">
        <f t="shared" si="61"/>
        <v>0</v>
      </c>
      <c r="AB423">
        <f t="shared" si="62"/>
        <v>0.31421594615001541</v>
      </c>
      <c r="AC423" t="s">
        <v>111</v>
      </c>
      <c r="AD423" t="s">
        <v>103</v>
      </c>
      <c r="AE423" t="s">
        <v>2827</v>
      </c>
      <c r="AF423" t="s">
        <v>2814</v>
      </c>
    </row>
    <row r="424" spans="1:32">
      <c r="A424" t="s">
        <v>1366</v>
      </c>
      <c r="B424" s="3">
        <v>45903</v>
      </c>
      <c r="C424" t="str">
        <f t="shared" si="55"/>
        <v>September</v>
      </c>
      <c r="D424">
        <f t="shared" si="56"/>
        <v>2025</v>
      </c>
      <c r="E424" s="3">
        <v>45817</v>
      </c>
      <c r="F424">
        <f t="shared" si="54"/>
        <v>-86</v>
      </c>
      <c r="G424" t="s">
        <v>1367</v>
      </c>
      <c r="H424" t="s">
        <v>264</v>
      </c>
      <c r="I424" t="s">
        <v>24</v>
      </c>
      <c r="J424" t="s">
        <v>63</v>
      </c>
      <c r="K424" t="s">
        <v>72</v>
      </c>
      <c r="L424" t="s">
        <v>73</v>
      </c>
      <c r="M424" t="s">
        <v>74</v>
      </c>
      <c r="N424" t="s">
        <v>80</v>
      </c>
      <c r="O424" t="s">
        <v>1368</v>
      </c>
      <c r="P424" t="s">
        <v>44</v>
      </c>
      <c r="Q424">
        <v>7</v>
      </c>
      <c r="R424">
        <v>688.85</v>
      </c>
      <c r="S424" s="6">
        <v>0.15</v>
      </c>
      <c r="T424" s="6">
        <f t="shared" si="57"/>
        <v>0.15</v>
      </c>
      <c r="U424">
        <v>4098.66</v>
      </c>
      <c r="V424">
        <f t="shared" si="58"/>
        <v>4098.6574999999993</v>
      </c>
      <c r="W424" s="6">
        <f t="shared" si="59"/>
        <v>-2.500000000509317E-3</v>
      </c>
      <c r="X424">
        <v>2678.06</v>
      </c>
      <c r="Y424">
        <v>1420.6</v>
      </c>
      <c r="Z424">
        <f t="shared" si="60"/>
        <v>1420.5974999999994</v>
      </c>
      <c r="AA424" s="6">
        <f t="shared" si="61"/>
        <v>-2.500000000509317E-3</v>
      </c>
      <c r="AB424">
        <f t="shared" si="62"/>
        <v>0.34660068571233377</v>
      </c>
      <c r="AC424" t="s">
        <v>32</v>
      </c>
      <c r="AD424" t="s">
        <v>33</v>
      </c>
      <c r="AE424" t="s">
        <v>2826</v>
      </c>
      <c r="AF424" s="10" t="s">
        <v>2790</v>
      </c>
    </row>
    <row r="425" spans="1:32">
      <c r="A425" t="s">
        <v>1369</v>
      </c>
      <c r="B425" s="3">
        <v>45342</v>
      </c>
      <c r="C425" t="str">
        <f t="shared" si="55"/>
        <v>February</v>
      </c>
      <c r="D425">
        <f t="shared" si="56"/>
        <v>2024</v>
      </c>
      <c r="E425" s="3">
        <v>45349</v>
      </c>
      <c r="F425">
        <f t="shared" si="54"/>
        <v>7</v>
      </c>
      <c r="G425" t="s">
        <v>1370</v>
      </c>
      <c r="H425" t="s">
        <v>162</v>
      </c>
      <c r="I425" t="s">
        <v>24</v>
      </c>
      <c r="J425" t="s">
        <v>54</v>
      </c>
      <c r="K425" t="s">
        <v>185</v>
      </c>
      <c r="L425" t="s">
        <v>186</v>
      </c>
      <c r="M425" t="s">
        <v>74</v>
      </c>
      <c r="N425" t="s">
        <v>75</v>
      </c>
      <c r="O425" t="s">
        <v>1371</v>
      </c>
      <c r="P425" t="s">
        <v>50</v>
      </c>
      <c r="Q425">
        <v>9</v>
      </c>
      <c r="R425">
        <v>3779.31</v>
      </c>
      <c r="S425" s="6">
        <v>0.2</v>
      </c>
      <c r="T425" s="6">
        <f t="shared" si="57"/>
        <v>0.2</v>
      </c>
      <c r="U425">
        <v>27211.03</v>
      </c>
      <c r="V425">
        <f t="shared" si="58"/>
        <v>27211.032000000003</v>
      </c>
      <c r="W425" s="6">
        <f t="shared" si="59"/>
        <v>2.0000000040454324E-3</v>
      </c>
      <c r="X425">
        <v>17940.43</v>
      </c>
      <c r="Y425">
        <v>9270.6</v>
      </c>
      <c r="Z425">
        <f t="shared" si="60"/>
        <v>9270.6020000000026</v>
      </c>
      <c r="AA425" s="6">
        <f t="shared" si="61"/>
        <v>2.000000002226443E-3</v>
      </c>
      <c r="AB425">
        <f t="shared" si="62"/>
        <v>0.34069277490100347</v>
      </c>
      <c r="AC425" t="s">
        <v>32</v>
      </c>
      <c r="AD425" t="s">
        <v>33</v>
      </c>
      <c r="AE425" t="s">
        <v>2826</v>
      </c>
      <c r="AF425" s="10" t="s">
        <v>2800</v>
      </c>
    </row>
    <row r="426" spans="1:32">
      <c r="A426" t="s">
        <v>1372</v>
      </c>
      <c r="B426" s="3">
        <v>45469</v>
      </c>
      <c r="C426" t="str">
        <f t="shared" si="55"/>
        <v>June</v>
      </c>
      <c r="D426">
        <f t="shared" si="56"/>
        <v>2024</v>
      </c>
      <c r="E426" s="3">
        <v>45472</v>
      </c>
      <c r="F426">
        <f t="shared" si="54"/>
        <v>3</v>
      </c>
      <c r="G426" t="s">
        <v>1373</v>
      </c>
      <c r="H426" t="s">
        <v>79</v>
      </c>
      <c r="I426" t="s">
        <v>90</v>
      </c>
      <c r="J426" t="s">
        <v>25</v>
      </c>
      <c r="K426" t="s">
        <v>122</v>
      </c>
      <c r="L426" t="s">
        <v>123</v>
      </c>
      <c r="M426" t="s">
        <v>74</v>
      </c>
      <c r="N426" t="s">
        <v>171</v>
      </c>
      <c r="O426" t="s">
        <v>1374</v>
      </c>
      <c r="P426" t="s">
        <v>59</v>
      </c>
      <c r="Q426">
        <v>8</v>
      </c>
      <c r="R426">
        <v>804.52</v>
      </c>
      <c r="S426" s="6">
        <v>0</v>
      </c>
      <c r="T426" s="6">
        <f t="shared" si="57"/>
        <v>0</v>
      </c>
      <c r="U426">
        <v>6436.16</v>
      </c>
      <c r="V426">
        <f t="shared" si="58"/>
        <v>6436.16</v>
      </c>
      <c r="W426" s="6">
        <f t="shared" si="59"/>
        <v>0</v>
      </c>
      <c r="X426">
        <v>4263.83</v>
      </c>
      <c r="Y426">
        <v>2172.33</v>
      </c>
      <c r="Z426">
        <f t="shared" si="60"/>
        <v>2172.33</v>
      </c>
      <c r="AA426" s="6">
        <f t="shared" si="61"/>
        <v>0</v>
      </c>
      <c r="AB426">
        <f t="shared" si="62"/>
        <v>0.33751957689056827</v>
      </c>
      <c r="AC426" t="s">
        <v>32</v>
      </c>
      <c r="AD426" t="s">
        <v>33</v>
      </c>
      <c r="AE426" t="s">
        <v>2828</v>
      </c>
    </row>
    <row r="427" spans="1:32">
      <c r="A427" t="s">
        <v>1375</v>
      </c>
      <c r="B427" s="3">
        <v>45561</v>
      </c>
      <c r="C427" t="str">
        <f t="shared" si="55"/>
        <v>September</v>
      </c>
      <c r="D427">
        <f t="shared" si="56"/>
        <v>2024</v>
      </c>
      <c r="E427" s="3">
        <v>45562</v>
      </c>
      <c r="F427">
        <f t="shared" si="54"/>
        <v>1</v>
      </c>
      <c r="G427" t="s">
        <v>1376</v>
      </c>
      <c r="H427" t="s">
        <v>47</v>
      </c>
      <c r="I427" t="s">
        <v>95</v>
      </c>
      <c r="J427" t="s">
        <v>25</v>
      </c>
      <c r="K427" t="s">
        <v>350</v>
      </c>
      <c r="L427" t="s">
        <v>351</v>
      </c>
      <c r="M427" t="s">
        <v>28</v>
      </c>
      <c r="N427" t="s">
        <v>91</v>
      </c>
      <c r="O427" t="s">
        <v>1377</v>
      </c>
      <c r="P427" t="s">
        <v>50</v>
      </c>
      <c r="Q427">
        <v>2</v>
      </c>
      <c r="R427">
        <v>1065.69</v>
      </c>
      <c r="S427" s="6">
        <v>0.1</v>
      </c>
      <c r="T427" s="6">
        <f t="shared" si="57"/>
        <v>0.1</v>
      </c>
      <c r="U427">
        <v>1918.24</v>
      </c>
      <c r="V427">
        <f t="shared" si="58"/>
        <v>1918.2420000000002</v>
      </c>
      <c r="W427" s="6">
        <f t="shared" si="59"/>
        <v>2.00000000018008E-3</v>
      </c>
      <c r="X427">
        <v>1373.52</v>
      </c>
      <c r="Y427">
        <v>544.72</v>
      </c>
      <c r="Z427">
        <f t="shared" si="60"/>
        <v>544.72200000000021</v>
      </c>
      <c r="AA427" s="6">
        <f t="shared" si="61"/>
        <v>2.00000000018008E-3</v>
      </c>
      <c r="AB427">
        <f t="shared" si="62"/>
        <v>0.2839693844676533</v>
      </c>
      <c r="AC427" t="s">
        <v>102</v>
      </c>
      <c r="AD427" t="s">
        <v>68</v>
      </c>
      <c r="AE427" t="s">
        <v>2827</v>
      </c>
      <c r="AF427" t="s">
        <v>2808</v>
      </c>
    </row>
    <row r="428" spans="1:32">
      <c r="A428" t="s">
        <v>1378</v>
      </c>
      <c r="B428" s="3">
        <v>45473</v>
      </c>
      <c r="C428" t="str">
        <f t="shared" si="55"/>
        <v>June</v>
      </c>
      <c r="D428">
        <f t="shared" si="56"/>
        <v>2024</v>
      </c>
      <c r="E428" s="3">
        <v>45298</v>
      </c>
      <c r="F428">
        <f t="shared" si="54"/>
        <v>-175</v>
      </c>
      <c r="G428" t="s">
        <v>1379</v>
      </c>
      <c r="H428" t="s">
        <v>89</v>
      </c>
      <c r="I428" t="s">
        <v>24</v>
      </c>
      <c r="J428" t="s">
        <v>25</v>
      </c>
      <c r="K428" t="s">
        <v>236</v>
      </c>
      <c r="L428" t="s">
        <v>237</v>
      </c>
      <c r="M428" t="s">
        <v>74</v>
      </c>
      <c r="N428" t="s">
        <v>80</v>
      </c>
      <c r="O428" t="s">
        <v>1380</v>
      </c>
      <c r="P428" t="s">
        <v>44</v>
      </c>
      <c r="Q428">
        <v>8</v>
      </c>
      <c r="R428">
        <v>3756.66</v>
      </c>
      <c r="S428" s="6">
        <v>0.1</v>
      </c>
      <c r="T428" s="6">
        <f t="shared" si="57"/>
        <v>0.1</v>
      </c>
      <c r="U428">
        <v>27047.95</v>
      </c>
      <c r="V428">
        <f t="shared" si="58"/>
        <v>27047.952000000001</v>
      </c>
      <c r="W428" s="6">
        <f t="shared" si="59"/>
        <v>2.0000000004074536E-3</v>
      </c>
      <c r="X428">
        <v>18431.330000000002</v>
      </c>
      <c r="Y428">
        <v>8616.6200000000008</v>
      </c>
      <c r="Z428">
        <f t="shared" si="60"/>
        <v>8616.6219999999994</v>
      </c>
      <c r="AA428" s="6">
        <f t="shared" si="61"/>
        <v>1.9999999985884642E-3</v>
      </c>
      <c r="AB428">
        <f t="shared" si="62"/>
        <v>0.31856837072174626</v>
      </c>
      <c r="AC428" t="s">
        <v>32</v>
      </c>
      <c r="AD428" t="s">
        <v>33</v>
      </c>
      <c r="AE428" t="s">
        <v>2826</v>
      </c>
      <c r="AF428" s="10" t="s">
        <v>2790</v>
      </c>
    </row>
    <row r="429" spans="1:32">
      <c r="A429" t="s">
        <v>1381</v>
      </c>
      <c r="B429" s="3">
        <v>45769</v>
      </c>
      <c r="C429" t="str">
        <f t="shared" si="55"/>
        <v>April</v>
      </c>
      <c r="D429">
        <f t="shared" si="56"/>
        <v>2025</v>
      </c>
      <c r="E429" s="3">
        <v>45771</v>
      </c>
      <c r="F429">
        <f t="shared" si="54"/>
        <v>2</v>
      </c>
      <c r="G429" t="s">
        <v>1382</v>
      </c>
      <c r="H429" t="s">
        <v>47</v>
      </c>
      <c r="I429" t="s">
        <v>90</v>
      </c>
      <c r="J429" t="s">
        <v>2781</v>
      </c>
      <c r="K429" t="s">
        <v>228</v>
      </c>
      <c r="L429" t="s">
        <v>229</v>
      </c>
      <c r="M429" t="s">
        <v>74</v>
      </c>
      <c r="N429" t="s">
        <v>75</v>
      </c>
      <c r="O429" t="s">
        <v>1383</v>
      </c>
      <c r="P429" t="s">
        <v>59</v>
      </c>
      <c r="Q429">
        <v>9</v>
      </c>
      <c r="R429">
        <v>2939.44</v>
      </c>
      <c r="S429" s="6">
        <v>0</v>
      </c>
      <c r="T429" s="6">
        <f t="shared" si="57"/>
        <v>0</v>
      </c>
      <c r="U429">
        <v>26454.959999999999</v>
      </c>
      <c r="V429">
        <f t="shared" si="58"/>
        <v>26454.959999999999</v>
      </c>
      <c r="W429" s="6">
        <f t="shared" si="59"/>
        <v>0</v>
      </c>
      <c r="X429">
        <v>17630.25</v>
      </c>
      <c r="Y429">
        <v>8824.7099999999991</v>
      </c>
      <c r="Z429">
        <f t="shared" si="60"/>
        <v>8824.7099999999991</v>
      </c>
      <c r="AA429" s="6">
        <f t="shared" si="61"/>
        <v>0</v>
      </c>
      <c r="AB429">
        <f t="shared" si="62"/>
        <v>0.33357487594008833</v>
      </c>
      <c r="AC429" t="s">
        <v>32</v>
      </c>
      <c r="AD429" t="s">
        <v>33</v>
      </c>
      <c r="AE429" t="s">
        <v>2828</v>
      </c>
    </row>
    <row r="430" spans="1:32">
      <c r="A430" t="s">
        <v>1384</v>
      </c>
      <c r="B430" s="3">
        <v>45731</v>
      </c>
      <c r="C430" t="str">
        <f t="shared" si="55"/>
        <v>March</v>
      </c>
      <c r="D430">
        <f t="shared" si="56"/>
        <v>2025</v>
      </c>
      <c r="E430" s="3">
        <v>45738</v>
      </c>
      <c r="F430">
        <f t="shared" si="54"/>
        <v>7</v>
      </c>
      <c r="G430" t="s">
        <v>1385</v>
      </c>
      <c r="H430" t="s">
        <v>23</v>
      </c>
      <c r="I430" t="s">
        <v>37</v>
      </c>
      <c r="J430" t="s">
        <v>38</v>
      </c>
      <c r="K430" t="s">
        <v>99</v>
      </c>
      <c r="L430" t="s">
        <v>100</v>
      </c>
      <c r="M430" t="s">
        <v>74</v>
      </c>
      <c r="N430" t="s">
        <v>171</v>
      </c>
      <c r="O430" t="s">
        <v>1386</v>
      </c>
      <c r="P430" t="s">
        <v>44</v>
      </c>
      <c r="Q430">
        <v>2</v>
      </c>
      <c r="R430">
        <v>1235.93</v>
      </c>
      <c r="S430" s="6">
        <v>0.25</v>
      </c>
      <c r="T430" s="6">
        <f t="shared" si="57"/>
        <v>0.25</v>
      </c>
      <c r="U430">
        <v>1853.89</v>
      </c>
      <c r="V430">
        <f t="shared" si="58"/>
        <v>1853.895</v>
      </c>
      <c r="W430" s="6">
        <f t="shared" si="59"/>
        <v>4.9999999998817657E-3</v>
      </c>
      <c r="X430">
        <v>1101.23</v>
      </c>
      <c r="Y430">
        <v>752.66</v>
      </c>
      <c r="Z430">
        <f t="shared" si="60"/>
        <v>752.66499999999996</v>
      </c>
      <c r="AA430" s="6">
        <f t="shared" si="61"/>
        <v>4.9999999999954525E-3</v>
      </c>
      <c r="AB430">
        <f t="shared" si="62"/>
        <v>0.40599116994220275</v>
      </c>
      <c r="AC430" t="s">
        <v>111</v>
      </c>
      <c r="AD430" t="s">
        <v>68</v>
      </c>
      <c r="AE430" t="s">
        <v>2827</v>
      </c>
      <c r="AF430" t="s">
        <v>2804</v>
      </c>
    </row>
    <row r="431" spans="1:32">
      <c r="A431" t="s">
        <v>1387</v>
      </c>
      <c r="B431" s="3">
        <v>45660</v>
      </c>
      <c r="C431" t="str">
        <f t="shared" si="55"/>
        <v>January</v>
      </c>
      <c r="D431">
        <f t="shared" si="56"/>
        <v>2025</v>
      </c>
      <c r="E431" s="3">
        <v>45872</v>
      </c>
      <c r="F431">
        <f t="shared" si="54"/>
        <v>212</v>
      </c>
      <c r="G431" t="s">
        <v>1388</v>
      </c>
      <c r="H431" t="s">
        <v>79</v>
      </c>
      <c r="I431" t="s">
        <v>95</v>
      </c>
      <c r="J431" t="s">
        <v>25</v>
      </c>
      <c r="K431" t="s">
        <v>26</v>
      </c>
      <c r="L431" t="s">
        <v>27</v>
      </c>
      <c r="M431" t="s">
        <v>74</v>
      </c>
      <c r="N431" t="s">
        <v>80</v>
      </c>
      <c r="O431" t="s">
        <v>1389</v>
      </c>
      <c r="P431" t="s">
        <v>44</v>
      </c>
      <c r="Q431">
        <v>8</v>
      </c>
      <c r="R431">
        <v>2943.1</v>
      </c>
      <c r="S431" s="6">
        <v>0.25</v>
      </c>
      <c r="T431" s="6">
        <f t="shared" si="57"/>
        <v>0.25</v>
      </c>
      <c r="U431">
        <v>17658.599999999999</v>
      </c>
      <c r="V431">
        <f t="shared" si="58"/>
        <v>17658.599999999999</v>
      </c>
      <c r="W431" s="6">
        <f t="shared" si="59"/>
        <v>0</v>
      </c>
      <c r="X431">
        <v>13842.48</v>
      </c>
      <c r="Y431">
        <v>3816.12</v>
      </c>
      <c r="Z431">
        <f t="shared" si="60"/>
        <v>3816.119999999999</v>
      </c>
      <c r="AA431" s="6">
        <f t="shared" si="61"/>
        <v>0</v>
      </c>
      <c r="AB431">
        <f t="shared" si="62"/>
        <v>0.2161054670245659</v>
      </c>
      <c r="AC431" t="s">
        <v>32</v>
      </c>
      <c r="AD431" t="s">
        <v>33</v>
      </c>
      <c r="AE431" t="s">
        <v>2828</v>
      </c>
    </row>
    <row r="432" spans="1:32">
      <c r="A432" t="s">
        <v>1390</v>
      </c>
      <c r="B432" s="3">
        <v>45534</v>
      </c>
      <c r="C432" t="str">
        <f t="shared" si="55"/>
        <v>August</v>
      </c>
      <c r="D432">
        <f t="shared" si="56"/>
        <v>2024</v>
      </c>
      <c r="E432" s="3">
        <v>45331</v>
      </c>
      <c r="F432">
        <f t="shared" si="54"/>
        <v>-203</v>
      </c>
      <c r="G432" t="s">
        <v>1391</v>
      </c>
      <c r="H432" t="s">
        <v>79</v>
      </c>
      <c r="I432" t="s">
        <v>37</v>
      </c>
      <c r="J432" t="s">
        <v>25</v>
      </c>
      <c r="K432" t="s">
        <v>236</v>
      </c>
      <c r="L432" t="s">
        <v>237</v>
      </c>
      <c r="M432" t="s">
        <v>28</v>
      </c>
      <c r="N432" t="s">
        <v>29</v>
      </c>
      <c r="O432" t="s">
        <v>1392</v>
      </c>
      <c r="P432" t="s">
        <v>31</v>
      </c>
      <c r="Q432">
        <v>1</v>
      </c>
      <c r="R432">
        <v>4320.84</v>
      </c>
      <c r="S432" s="6">
        <v>0.15</v>
      </c>
      <c r="T432" s="6">
        <f t="shared" si="57"/>
        <v>0.15</v>
      </c>
      <c r="U432">
        <v>3672.71</v>
      </c>
      <c r="V432">
        <f t="shared" si="58"/>
        <v>3672.7139999999999</v>
      </c>
      <c r="W432" s="6">
        <f t="shared" si="59"/>
        <v>3.9999999999054126E-3</v>
      </c>
      <c r="X432">
        <v>2714.23</v>
      </c>
      <c r="Y432">
        <v>763.38</v>
      </c>
      <c r="Z432">
        <f t="shared" si="60"/>
        <v>958.48399999999992</v>
      </c>
      <c r="AA432" s="6">
        <f t="shared" si="61"/>
        <v>195.10399999999993</v>
      </c>
      <c r="AB432">
        <f t="shared" si="62"/>
        <v>0.26097430946161337</v>
      </c>
      <c r="AC432" t="s">
        <v>32</v>
      </c>
      <c r="AD432" t="s">
        <v>33</v>
      </c>
      <c r="AE432" t="s">
        <v>2826</v>
      </c>
      <c r="AF432" s="10" t="s">
        <v>2790</v>
      </c>
    </row>
    <row r="433" spans="1:32">
      <c r="A433" t="s">
        <v>1393</v>
      </c>
      <c r="B433" s="3">
        <v>45567</v>
      </c>
      <c r="C433" t="str">
        <f t="shared" si="55"/>
        <v>October</v>
      </c>
      <c r="D433">
        <f t="shared" si="56"/>
        <v>2024</v>
      </c>
      <c r="E433" s="3">
        <v>45335</v>
      </c>
      <c r="F433">
        <f t="shared" si="54"/>
        <v>-232</v>
      </c>
      <c r="G433" t="s">
        <v>1394</v>
      </c>
      <c r="H433" t="s">
        <v>23</v>
      </c>
      <c r="I433" t="s">
        <v>95</v>
      </c>
      <c r="J433" t="s">
        <v>63</v>
      </c>
      <c r="K433" t="s">
        <v>190</v>
      </c>
      <c r="L433" t="s">
        <v>191</v>
      </c>
      <c r="M433" t="s">
        <v>74</v>
      </c>
      <c r="N433" t="s">
        <v>274</v>
      </c>
      <c r="O433" t="s">
        <v>1395</v>
      </c>
      <c r="P433" t="s">
        <v>44</v>
      </c>
      <c r="Q433">
        <v>2</v>
      </c>
      <c r="R433">
        <v>4118.45</v>
      </c>
      <c r="S433" s="6">
        <v>0.25</v>
      </c>
      <c r="T433" s="6">
        <f t="shared" si="57"/>
        <v>0.25</v>
      </c>
      <c r="U433">
        <v>6177.67</v>
      </c>
      <c r="V433">
        <f t="shared" si="58"/>
        <v>6177.6749999999993</v>
      </c>
      <c r="W433" s="6">
        <f t="shared" si="59"/>
        <v>4.9999999991996447E-3</v>
      </c>
      <c r="X433">
        <v>4520.75</v>
      </c>
      <c r="Y433">
        <v>1656.92</v>
      </c>
      <c r="Z433">
        <f t="shared" si="60"/>
        <v>1656.9249999999993</v>
      </c>
      <c r="AA433" s="6">
        <f t="shared" si="61"/>
        <v>4.9999999991996447E-3</v>
      </c>
      <c r="AB433">
        <f t="shared" si="62"/>
        <v>0.26821174632851347</v>
      </c>
      <c r="AC433" t="s">
        <v>32</v>
      </c>
      <c r="AD433" t="s">
        <v>33</v>
      </c>
      <c r="AE433" t="s">
        <v>2826</v>
      </c>
      <c r="AF433" s="10" t="s">
        <v>2790</v>
      </c>
    </row>
    <row r="434" spans="1:32">
      <c r="A434" t="s">
        <v>1396</v>
      </c>
      <c r="B434" s="3">
        <v>45533</v>
      </c>
      <c r="C434" t="str">
        <f t="shared" si="55"/>
        <v>August</v>
      </c>
      <c r="D434">
        <f t="shared" si="56"/>
        <v>2024</v>
      </c>
      <c r="E434" s="3">
        <v>45331</v>
      </c>
      <c r="F434">
        <f t="shared" si="54"/>
        <v>-202</v>
      </c>
      <c r="G434" t="s">
        <v>1397</v>
      </c>
      <c r="H434" t="s">
        <v>114</v>
      </c>
      <c r="I434" t="s">
        <v>37</v>
      </c>
      <c r="J434" t="s">
        <v>63</v>
      </c>
      <c r="K434" t="s">
        <v>64</v>
      </c>
      <c r="L434" t="s">
        <v>65</v>
      </c>
      <c r="M434" t="s">
        <v>41</v>
      </c>
      <c r="N434" t="s">
        <v>158</v>
      </c>
      <c r="O434" t="s">
        <v>1398</v>
      </c>
      <c r="P434" t="s">
        <v>59</v>
      </c>
      <c r="Q434">
        <v>6</v>
      </c>
      <c r="R434">
        <v>172.82</v>
      </c>
      <c r="S434" s="6">
        <v>0.05</v>
      </c>
      <c r="T434" s="6">
        <f t="shared" si="57"/>
        <v>0.05</v>
      </c>
      <c r="U434">
        <v>985.07</v>
      </c>
      <c r="V434">
        <f t="shared" si="58"/>
        <v>985.07400000000007</v>
      </c>
      <c r="W434" s="6">
        <f t="shared" si="59"/>
        <v>4.0000000000190994E-3</v>
      </c>
      <c r="X434">
        <v>844.48</v>
      </c>
      <c r="Y434">
        <v>140.59</v>
      </c>
      <c r="Z434">
        <f t="shared" si="60"/>
        <v>140.59400000000005</v>
      </c>
      <c r="AA434" s="6">
        <f t="shared" si="61"/>
        <v>4.0000000000475211E-3</v>
      </c>
      <c r="AB434">
        <f t="shared" si="62"/>
        <v>0.14272430294576857</v>
      </c>
      <c r="AC434" t="s">
        <v>32</v>
      </c>
      <c r="AD434" t="s">
        <v>33</v>
      </c>
      <c r="AE434" t="s">
        <v>2826</v>
      </c>
      <c r="AF434" s="10" t="s">
        <v>2790</v>
      </c>
    </row>
    <row r="435" spans="1:32">
      <c r="A435" t="s">
        <v>1399</v>
      </c>
      <c r="B435" s="3">
        <v>45401</v>
      </c>
      <c r="C435" t="str">
        <f t="shared" si="55"/>
        <v>April</v>
      </c>
      <c r="D435">
        <f t="shared" si="56"/>
        <v>2024</v>
      </c>
      <c r="E435" s="3">
        <v>45402</v>
      </c>
      <c r="F435">
        <f t="shared" si="54"/>
        <v>1</v>
      </c>
      <c r="G435" t="s">
        <v>1400</v>
      </c>
      <c r="H435" t="s">
        <v>114</v>
      </c>
      <c r="I435" t="s">
        <v>90</v>
      </c>
      <c r="J435" t="s">
        <v>54</v>
      </c>
      <c r="K435" t="s">
        <v>185</v>
      </c>
      <c r="L435" t="s">
        <v>186</v>
      </c>
      <c r="M435" t="s">
        <v>28</v>
      </c>
      <c r="N435" t="s">
        <v>48</v>
      </c>
      <c r="O435" t="s">
        <v>1401</v>
      </c>
      <c r="P435" t="s">
        <v>31</v>
      </c>
      <c r="Q435">
        <v>4</v>
      </c>
      <c r="R435">
        <v>1540.22</v>
      </c>
      <c r="S435" s="6">
        <v>0</v>
      </c>
      <c r="T435" s="6">
        <f t="shared" si="57"/>
        <v>0</v>
      </c>
      <c r="U435">
        <v>6160.88</v>
      </c>
      <c r="V435">
        <f t="shared" si="58"/>
        <v>6160.88</v>
      </c>
      <c r="W435" s="6">
        <f t="shared" si="59"/>
        <v>0</v>
      </c>
      <c r="X435">
        <v>4938.7</v>
      </c>
      <c r="Y435">
        <v>1222.18</v>
      </c>
      <c r="Z435">
        <f t="shared" si="60"/>
        <v>1222.1800000000003</v>
      </c>
      <c r="AA435" s="6">
        <f t="shared" si="61"/>
        <v>0</v>
      </c>
      <c r="AB435">
        <f t="shared" si="62"/>
        <v>0.19837750451234243</v>
      </c>
      <c r="AC435" t="s">
        <v>102</v>
      </c>
      <c r="AD435" t="s">
        <v>103</v>
      </c>
      <c r="AE435" t="s">
        <v>2827</v>
      </c>
      <c r="AF435" t="s">
        <v>2807</v>
      </c>
    </row>
    <row r="436" spans="1:32">
      <c r="A436" t="s">
        <v>1402</v>
      </c>
      <c r="B436" s="3">
        <v>45758</v>
      </c>
      <c r="C436" t="str">
        <f t="shared" si="55"/>
        <v>April</v>
      </c>
      <c r="D436">
        <f t="shared" si="56"/>
        <v>2025</v>
      </c>
      <c r="E436" s="3">
        <v>45762</v>
      </c>
      <c r="F436">
        <f t="shared" si="54"/>
        <v>4</v>
      </c>
      <c r="G436" t="s">
        <v>1403</v>
      </c>
      <c r="H436" t="s">
        <v>36</v>
      </c>
      <c r="I436" t="s">
        <v>95</v>
      </c>
      <c r="J436" t="s">
        <v>25</v>
      </c>
      <c r="K436" t="s">
        <v>136</v>
      </c>
      <c r="L436" t="s">
        <v>137</v>
      </c>
      <c r="M436" t="s">
        <v>74</v>
      </c>
      <c r="N436" t="s">
        <v>75</v>
      </c>
      <c r="O436" t="s">
        <v>1404</v>
      </c>
      <c r="P436" t="s">
        <v>31</v>
      </c>
      <c r="Q436">
        <v>5</v>
      </c>
      <c r="R436">
        <v>652.78</v>
      </c>
      <c r="S436" s="6">
        <v>0</v>
      </c>
      <c r="T436" s="6">
        <f t="shared" si="57"/>
        <v>0</v>
      </c>
      <c r="U436">
        <v>3263.9</v>
      </c>
      <c r="V436">
        <f t="shared" si="58"/>
        <v>3263.8999999999996</v>
      </c>
      <c r="W436" s="6">
        <f t="shared" si="59"/>
        <v>0</v>
      </c>
      <c r="X436">
        <v>2068.44</v>
      </c>
      <c r="Y436">
        <v>1195.46</v>
      </c>
      <c r="Z436">
        <f t="shared" si="60"/>
        <v>1195.4599999999996</v>
      </c>
      <c r="AA436" s="6">
        <f t="shared" si="61"/>
        <v>0</v>
      </c>
      <c r="AB436">
        <f t="shared" si="62"/>
        <v>0.3662673488771101</v>
      </c>
      <c r="AC436" t="s">
        <v>32</v>
      </c>
      <c r="AD436" t="s">
        <v>33</v>
      </c>
      <c r="AE436" t="s">
        <v>2828</v>
      </c>
    </row>
    <row r="437" spans="1:32">
      <c r="A437" t="s">
        <v>1405</v>
      </c>
      <c r="B437" s="3">
        <v>45995</v>
      </c>
      <c r="C437" t="str">
        <f t="shared" si="55"/>
        <v>December</v>
      </c>
      <c r="D437">
        <f t="shared" si="56"/>
        <v>2025</v>
      </c>
      <c r="E437" s="3">
        <v>45767</v>
      </c>
      <c r="F437">
        <f t="shared" si="54"/>
        <v>-228</v>
      </c>
      <c r="G437" t="s">
        <v>1406</v>
      </c>
      <c r="H437" t="s">
        <v>264</v>
      </c>
      <c r="I437" t="s">
        <v>95</v>
      </c>
      <c r="J437" t="s">
        <v>25</v>
      </c>
      <c r="K437" t="s">
        <v>350</v>
      </c>
      <c r="L437" t="s">
        <v>351</v>
      </c>
      <c r="M437" t="s">
        <v>74</v>
      </c>
      <c r="N437" t="s">
        <v>274</v>
      </c>
      <c r="O437" t="s">
        <v>1407</v>
      </c>
      <c r="P437" t="s">
        <v>59</v>
      </c>
      <c r="Q437">
        <v>1</v>
      </c>
      <c r="R437">
        <v>2737.71</v>
      </c>
      <c r="S437" s="6">
        <v>0.15</v>
      </c>
      <c r="T437" s="6">
        <f t="shared" si="57"/>
        <v>0.15</v>
      </c>
      <c r="U437">
        <v>2327.0500000000002</v>
      </c>
      <c r="V437">
        <f t="shared" si="58"/>
        <v>2327.0535</v>
      </c>
      <c r="W437" s="6">
        <f t="shared" si="59"/>
        <v>3.4999999998035491E-3</v>
      </c>
      <c r="X437">
        <v>1919.42</v>
      </c>
      <c r="Y437">
        <v>407.63</v>
      </c>
      <c r="Z437">
        <f t="shared" si="60"/>
        <v>407.63349999999991</v>
      </c>
      <c r="AA437" s="6">
        <f t="shared" si="61"/>
        <v>3.499999999917236E-3</v>
      </c>
      <c r="AB437">
        <f t="shared" si="62"/>
        <v>0.17517152055163318</v>
      </c>
      <c r="AC437" t="s">
        <v>32</v>
      </c>
      <c r="AD437" t="s">
        <v>68</v>
      </c>
      <c r="AE437" t="s">
        <v>2826</v>
      </c>
      <c r="AF437" s="10" t="s">
        <v>2793</v>
      </c>
    </row>
    <row r="438" spans="1:32">
      <c r="A438" t="s">
        <v>1408</v>
      </c>
      <c r="B438" s="3">
        <v>45459</v>
      </c>
      <c r="C438" t="str">
        <f t="shared" si="55"/>
        <v>June</v>
      </c>
      <c r="D438">
        <f t="shared" si="56"/>
        <v>2024</v>
      </c>
      <c r="E438" s="3">
        <v>45464</v>
      </c>
      <c r="F438">
        <f t="shared" si="54"/>
        <v>5</v>
      </c>
      <c r="G438" t="s">
        <v>1409</v>
      </c>
      <c r="H438" t="s">
        <v>79</v>
      </c>
      <c r="I438" t="s">
        <v>24</v>
      </c>
      <c r="J438" t="s">
        <v>54</v>
      </c>
      <c r="K438" t="s">
        <v>185</v>
      </c>
      <c r="L438" t="s">
        <v>186</v>
      </c>
      <c r="M438" t="s">
        <v>41</v>
      </c>
      <c r="N438" t="s">
        <v>57</v>
      </c>
      <c r="O438" t="s">
        <v>1410</v>
      </c>
      <c r="P438" t="s">
        <v>44</v>
      </c>
      <c r="Q438">
        <v>6</v>
      </c>
      <c r="R438">
        <v>1156.78</v>
      </c>
      <c r="S438" s="6">
        <v>0.05</v>
      </c>
      <c r="T438" s="6">
        <f t="shared" si="57"/>
        <v>0.05</v>
      </c>
      <c r="U438">
        <v>6593.65</v>
      </c>
      <c r="V438">
        <f t="shared" si="58"/>
        <v>6593.6459999999997</v>
      </c>
      <c r="W438" s="6">
        <f t="shared" si="59"/>
        <v>-3.9999999999054126E-3</v>
      </c>
      <c r="X438">
        <v>4359.3900000000003</v>
      </c>
      <c r="Y438">
        <v>2234.2600000000002</v>
      </c>
      <c r="Z438">
        <f t="shared" si="60"/>
        <v>2234.2559999999994</v>
      </c>
      <c r="AA438" s="6">
        <f t="shared" si="61"/>
        <v>-4.0000000008149073E-3</v>
      </c>
      <c r="AB438">
        <f t="shared" si="62"/>
        <v>0.33884985636171544</v>
      </c>
      <c r="AC438" t="s">
        <v>32</v>
      </c>
      <c r="AD438" t="s">
        <v>103</v>
      </c>
      <c r="AE438" t="s">
        <v>2827</v>
      </c>
      <c r="AF438" t="s">
        <v>103</v>
      </c>
    </row>
    <row r="439" spans="1:32">
      <c r="A439" t="s">
        <v>1411</v>
      </c>
      <c r="B439" s="3">
        <v>45337</v>
      </c>
      <c r="C439" t="str">
        <f t="shared" si="55"/>
        <v>February</v>
      </c>
      <c r="D439">
        <f t="shared" si="56"/>
        <v>2024</v>
      </c>
      <c r="E439" s="3">
        <v>45340</v>
      </c>
      <c r="F439">
        <f t="shared" si="54"/>
        <v>3</v>
      </c>
      <c r="G439" t="s">
        <v>1412</v>
      </c>
      <c r="H439" t="s">
        <v>89</v>
      </c>
      <c r="I439" t="s">
        <v>37</v>
      </c>
      <c r="J439" t="s">
        <v>54</v>
      </c>
      <c r="K439" t="s">
        <v>185</v>
      </c>
      <c r="L439" t="s">
        <v>186</v>
      </c>
      <c r="M439" t="s">
        <v>74</v>
      </c>
      <c r="N439" t="s">
        <v>75</v>
      </c>
      <c r="O439" t="s">
        <v>1413</v>
      </c>
      <c r="P439" t="s">
        <v>44</v>
      </c>
      <c r="Q439">
        <v>8</v>
      </c>
      <c r="R439">
        <v>379.82</v>
      </c>
      <c r="S439" s="6">
        <v>0.05</v>
      </c>
      <c r="T439" s="6">
        <f t="shared" si="57"/>
        <v>0.05</v>
      </c>
      <c r="U439">
        <v>2886.63</v>
      </c>
      <c r="V439">
        <f t="shared" si="58"/>
        <v>2886.6319999999996</v>
      </c>
      <c r="W439" s="6">
        <f t="shared" si="59"/>
        <v>1.9999999994979589E-3</v>
      </c>
      <c r="X439">
        <v>1588.23</v>
      </c>
      <c r="Y439">
        <v>1298.4000000000001</v>
      </c>
      <c r="Z439">
        <f t="shared" si="60"/>
        <v>1298.4019999999996</v>
      </c>
      <c r="AA439" s="6">
        <f t="shared" si="61"/>
        <v>1.9999999994979589E-3</v>
      </c>
      <c r="AB439">
        <f t="shared" si="62"/>
        <v>0.44979824238073984</v>
      </c>
      <c r="AC439" t="s">
        <v>155</v>
      </c>
      <c r="AD439" t="s">
        <v>103</v>
      </c>
      <c r="AE439" t="s">
        <v>2827</v>
      </c>
      <c r="AF439" s="10" t="s">
        <v>2821</v>
      </c>
    </row>
    <row r="440" spans="1:32">
      <c r="A440" t="s">
        <v>1414</v>
      </c>
      <c r="B440" s="3">
        <v>45843</v>
      </c>
      <c r="C440" t="str">
        <f t="shared" si="55"/>
        <v>July</v>
      </c>
      <c r="D440">
        <f t="shared" si="56"/>
        <v>2025</v>
      </c>
      <c r="E440" s="3">
        <v>45782</v>
      </c>
      <c r="F440">
        <f t="shared" si="54"/>
        <v>-61</v>
      </c>
      <c r="G440" t="s">
        <v>1415</v>
      </c>
      <c r="H440" t="s">
        <v>79</v>
      </c>
      <c r="I440" t="s">
        <v>90</v>
      </c>
      <c r="J440" t="s">
        <v>38</v>
      </c>
      <c r="K440" t="s">
        <v>228</v>
      </c>
      <c r="L440" t="s">
        <v>229</v>
      </c>
      <c r="M440" t="s">
        <v>74</v>
      </c>
      <c r="N440" t="s">
        <v>171</v>
      </c>
      <c r="O440" t="s">
        <v>1416</v>
      </c>
      <c r="P440" t="s">
        <v>59</v>
      </c>
      <c r="Q440">
        <v>1</v>
      </c>
      <c r="R440">
        <v>2266.4699999999998</v>
      </c>
      <c r="S440" s="6">
        <v>0.2</v>
      </c>
      <c r="T440" s="6">
        <f t="shared" si="57"/>
        <v>0.2</v>
      </c>
      <c r="U440">
        <v>1813.18</v>
      </c>
      <c r="V440">
        <f t="shared" si="58"/>
        <v>1813.1759999999999</v>
      </c>
      <c r="W440" s="6">
        <f t="shared" si="59"/>
        <v>-4.0000000001327862E-3</v>
      </c>
      <c r="X440">
        <v>1363.64</v>
      </c>
      <c r="Y440">
        <v>449.54</v>
      </c>
      <c r="Z440">
        <f t="shared" si="60"/>
        <v>449.53599999999983</v>
      </c>
      <c r="AA440" s="6">
        <f t="shared" si="61"/>
        <v>-4.0000000001896296E-3</v>
      </c>
      <c r="AB440">
        <f t="shared" si="62"/>
        <v>0.24792739370033567</v>
      </c>
      <c r="AC440" t="s">
        <v>32</v>
      </c>
      <c r="AD440" t="s">
        <v>33</v>
      </c>
      <c r="AE440" t="s">
        <v>2826</v>
      </c>
      <c r="AF440" s="10" t="s">
        <v>2790</v>
      </c>
    </row>
    <row r="441" spans="1:32">
      <c r="A441" t="s">
        <v>1417</v>
      </c>
      <c r="B441" s="3">
        <v>45838</v>
      </c>
      <c r="C441" t="str">
        <f t="shared" si="55"/>
        <v>June</v>
      </c>
      <c r="D441">
        <f t="shared" si="56"/>
        <v>2025</v>
      </c>
      <c r="E441" s="3">
        <v>45723</v>
      </c>
      <c r="F441">
        <f t="shared" si="54"/>
        <v>-115</v>
      </c>
      <c r="G441" t="s">
        <v>1418</v>
      </c>
      <c r="H441" t="s">
        <v>128</v>
      </c>
      <c r="I441" t="s">
        <v>95</v>
      </c>
      <c r="J441" t="s">
        <v>63</v>
      </c>
      <c r="K441" t="s">
        <v>190</v>
      </c>
      <c r="L441" t="s">
        <v>191</v>
      </c>
      <c r="M441" t="s">
        <v>28</v>
      </c>
      <c r="N441" t="s">
        <v>124</v>
      </c>
      <c r="O441" t="s">
        <v>1419</v>
      </c>
      <c r="P441" t="s">
        <v>44</v>
      </c>
      <c r="Q441">
        <v>5</v>
      </c>
      <c r="R441">
        <v>665.25</v>
      </c>
      <c r="S441" s="6">
        <v>0</v>
      </c>
      <c r="T441" s="6">
        <f t="shared" si="57"/>
        <v>0</v>
      </c>
      <c r="U441">
        <v>3326.25</v>
      </c>
      <c r="V441">
        <f t="shared" si="58"/>
        <v>3326.25</v>
      </c>
      <c r="W441" s="6">
        <f t="shared" si="59"/>
        <v>0</v>
      </c>
      <c r="X441">
        <v>2689.36</v>
      </c>
      <c r="Y441">
        <v>636.89</v>
      </c>
      <c r="Z441">
        <f t="shared" si="60"/>
        <v>636.88999999999987</v>
      </c>
      <c r="AA441" s="6">
        <f t="shared" si="61"/>
        <v>0</v>
      </c>
      <c r="AB441">
        <f t="shared" si="62"/>
        <v>0.19147388199924836</v>
      </c>
      <c r="AC441" t="s">
        <v>102</v>
      </c>
      <c r="AD441" t="s">
        <v>103</v>
      </c>
      <c r="AE441" t="s">
        <v>2826</v>
      </c>
      <c r="AF441" s="10" t="s">
        <v>2812</v>
      </c>
    </row>
    <row r="442" spans="1:32">
      <c r="A442" t="s">
        <v>1420</v>
      </c>
      <c r="B442" s="3">
        <v>45384</v>
      </c>
      <c r="C442" t="str">
        <f t="shared" si="55"/>
        <v>April</v>
      </c>
      <c r="D442">
        <f t="shared" si="56"/>
        <v>2024</v>
      </c>
      <c r="E442" s="3">
        <v>45390</v>
      </c>
      <c r="F442">
        <f t="shared" si="54"/>
        <v>6</v>
      </c>
      <c r="G442" t="s">
        <v>270</v>
      </c>
      <c r="H442" t="s">
        <v>71</v>
      </c>
      <c r="I442" t="s">
        <v>90</v>
      </c>
      <c r="J442" t="s">
        <v>38</v>
      </c>
      <c r="K442" t="s">
        <v>39</v>
      </c>
      <c r="L442" t="s">
        <v>40</v>
      </c>
      <c r="M442" t="s">
        <v>74</v>
      </c>
      <c r="N442" t="s">
        <v>274</v>
      </c>
      <c r="O442" t="s">
        <v>1421</v>
      </c>
      <c r="P442" t="s">
        <v>31</v>
      </c>
      <c r="Q442">
        <v>6</v>
      </c>
      <c r="R442">
        <v>3722.84</v>
      </c>
      <c r="S442" s="6">
        <v>0.2</v>
      </c>
      <c r="T442" s="6">
        <f t="shared" si="57"/>
        <v>0.2</v>
      </c>
      <c r="U442">
        <v>17869.63</v>
      </c>
      <c r="V442">
        <f t="shared" si="58"/>
        <v>17869.632000000001</v>
      </c>
      <c r="W442" s="6">
        <f t="shared" si="59"/>
        <v>2.0000000004074536E-3</v>
      </c>
      <c r="X442">
        <v>12163.8</v>
      </c>
      <c r="Y442">
        <v>5705.83</v>
      </c>
      <c r="Z442">
        <f t="shared" si="60"/>
        <v>5705.8320000000022</v>
      </c>
      <c r="AA442" s="6">
        <f t="shared" si="61"/>
        <v>2.000000002226443E-3</v>
      </c>
      <c r="AB442">
        <f t="shared" si="62"/>
        <v>0.31930327384469931</v>
      </c>
      <c r="AC442" t="s">
        <v>32</v>
      </c>
      <c r="AD442" t="s">
        <v>33</v>
      </c>
      <c r="AE442" t="s">
        <v>2828</v>
      </c>
    </row>
    <row r="443" spans="1:32">
      <c r="A443" t="s">
        <v>1422</v>
      </c>
      <c r="B443" s="3">
        <v>45361</v>
      </c>
      <c r="C443" t="str">
        <f t="shared" si="55"/>
        <v>March</v>
      </c>
      <c r="D443">
        <f t="shared" si="56"/>
        <v>2024</v>
      </c>
      <c r="E443" s="3">
        <v>45361</v>
      </c>
      <c r="F443">
        <f t="shared" si="54"/>
        <v>0</v>
      </c>
      <c r="G443" t="s">
        <v>1423</v>
      </c>
      <c r="H443" t="s">
        <v>23</v>
      </c>
      <c r="I443" t="s">
        <v>24</v>
      </c>
      <c r="J443" t="s">
        <v>38</v>
      </c>
      <c r="K443" t="s">
        <v>145</v>
      </c>
      <c r="L443" t="s">
        <v>146</v>
      </c>
      <c r="M443" t="s">
        <v>41</v>
      </c>
      <c r="N443" t="s">
        <v>158</v>
      </c>
      <c r="O443" t="s">
        <v>1424</v>
      </c>
      <c r="P443" t="s">
        <v>59</v>
      </c>
      <c r="Q443">
        <v>6</v>
      </c>
      <c r="R443">
        <v>4217.49</v>
      </c>
      <c r="S443" s="6">
        <v>0</v>
      </c>
      <c r="T443" s="6">
        <f t="shared" si="57"/>
        <v>0</v>
      </c>
      <c r="U443">
        <v>25304.94</v>
      </c>
      <c r="V443">
        <f t="shared" si="58"/>
        <v>25304.94</v>
      </c>
      <c r="W443" s="6">
        <f t="shared" si="59"/>
        <v>0</v>
      </c>
      <c r="X443">
        <v>20771.95</v>
      </c>
      <c r="Y443">
        <v>4532.99</v>
      </c>
      <c r="Z443">
        <f t="shared" si="60"/>
        <v>4532.989999999998</v>
      </c>
      <c r="AA443" s="6">
        <f t="shared" si="61"/>
        <v>0</v>
      </c>
      <c r="AB443">
        <f t="shared" si="62"/>
        <v>0.17913458795002077</v>
      </c>
      <c r="AC443" t="s">
        <v>32</v>
      </c>
      <c r="AD443" t="s">
        <v>68</v>
      </c>
      <c r="AE443" t="s">
        <v>2827</v>
      </c>
      <c r="AF443" t="s">
        <v>2795</v>
      </c>
    </row>
    <row r="444" spans="1:32">
      <c r="A444" t="s">
        <v>1425</v>
      </c>
      <c r="B444" s="3">
        <v>45992</v>
      </c>
      <c r="C444" t="str">
        <f t="shared" si="55"/>
        <v>December</v>
      </c>
      <c r="D444">
        <f t="shared" si="56"/>
        <v>2025</v>
      </c>
      <c r="E444" s="3">
        <v>45676</v>
      </c>
      <c r="F444">
        <f t="shared" si="54"/>
        <v>-316</v>
      </c>
      <c r="G444" t="s">
        <v>1426</v>
      </c>
      <c r="H444" t="s">
        <v>128</v>
      </c>
      <c r="I444" t="s">
        <v>24</v>
      </c>
      <c r="J444" t="s">
        <v>38</v>
      </c>
      <c r="K444" t="s">
        <v>228</v>
      </c>
      <c r="L444" t="s">
        <v>229</v>
      </c>
      <c r="M444" t="s">
        <v>41</v>
      </c>
      <c r="N444" t="s">
        <v>42</v>
      </c>
      <c r="O444" t="s">
        <v>1427</v>
      </c>
      <c r="P444" t="s">
        <v>50</v>
      </c>
      <c r="Q444">
        <v>1</v>
      </c>
      <c r="R444">
        <v>1842.31</v>
      </c>
      <c r="S444" s="6">
        <v>0</v>
      </c>
      <c r="T444" s="6">
        <f t="shared" si="57"/>
        <v>0</v>
      </c>
      <c r="U444">
        <v>1842.31</v>
      </c>
      <c r="V444">
        <f t="shared" si="58"/>
        <v>1842.31</v>
      </c>
      <c r="W444" s="6">
        <f t="shared" si="59"/>
        <v>0</v>
      </c>
      <c r="X444">
        <v>1019.17</v>
      </c>
      <c r="Y444">
        <v>823.14</v>
      </c>
      <c r="Z444">
        <f t="shared" si="60"/>
        <v>823.14</v>
      </c>
      <c r="AA444" s="6">
        <f t="shared" si="61"/>
        <v>0</v>
      </c>
      <c r="AB444">
        <f t="shared" si="62"/>
        <v>0.44679777019068451</v>
      </c>
      <c r="AC444" t="s">
        <v>32</v>
      </c>
      <c r="AD444" t="s">
        <v>33</v>
      </c>
      <c r="AE444" t="s">
        <v>2826</v>
      </c>
      <c r="AF444" s="10" t="s">
        <v>2790</v>
      </c>
    </row>
    <row r="445" spans="1:32">
      <c r="A445" t="s">
        <v>1428</v>
      </c>
      <c r="B445" s="3">
        <v>45386</v>
      </c>
      <c r="C445" t="str">
        <f t="shared" si="55"/>
        <v>April</v>
      </c>
      <c r="D445">
        <f t="shared" si="56"/>
        <v>2024</v>
      </c>
      <c r="E445" s="3">
        <v>45477</v>
      </c>
      <c r="F445">
        <f t="shared" si="54"/>
        <v>91</v>
      </c>
      <c r="G445" t="s">
        <v>1429</v>
      </c>
      <c r="H445" t="s">
        <v>141</v>
      </c>
      <c r="I445" t="s">
        <v>95</v>
      </c>
      <c r="J445" t="s">
        <v>38</v>
      </c>
      <c r="K445" t="s">
        <v>39</v>
      </c>
      <c r="L445" t="s">
        <v>40</v>
      </c>
      <c r="M445" t="s">
        <v>41</v>
      </c>
      <c r="N445" t="s">
        <v>57</v>
      </c>
      <c r="O445" t="s">
        <v>1430</v>
      </c>
      <c r="P445" t="s">
        <v>50</v>
      </c>
      <c r="Q445">
        <v>1</v>
      </c>
      <c r="R445">
        <v>3683.75</v>
      </c>
      <c r="S445" s="6">
        <v>0.1</v>
      </c>
      <c r="T445" s="6">
        <f t="shared" si="57"/>
        <v>0.1</v>
      </c>
      <c r="U445">
        <v>3315.38</v>
      </c>
      <c r="V445">
        <f t="shared" si="58"/>
        <v>3315.375</v>
      </c>
      <c r="W445" s="6">
        <f t="shared" si="59"/>
        <v>-5.0000000001091394E-3</v>
      </c>
      <c r="X445">
        <v>2347.6799999999998</v>
      </c>
      <c r="Y445">
        <v>967.7</v>
      </c>
      <c r="Z445">
        <f t="shared" si="60"/>
        <v>967.69500000000016</v>
      </c>
      <c r="AA445" s="6">
        <f t="shared" si="61"/>
        <v>-4.9999999998817657E-3</v>
      </c>
      <c r="AB445">
        <f t="shared" si="62"/>
        <v>0.29188100893564084</v>
      </c>
      <c r="AC445" t="s">
        <v>32</v>
      </c>
      <c r="AD445" t="s">
        <v>33</v>
      </c>
      <c r="AE445" t="s">
        <v>2828</v>
      </c>
    </row>
    <row r="446" spans="1:32">
      <c r="A446" t="s">
        <v>1431</v>
      </c>
      <c r="B446" s="3">
        <v>45999</v>
      </c>
      <c r="C446" t="str">
        <f t="shared" si="55"/>
        <v>December</v>
      </c>
      <c r="D446">
        <f t="shared" si="56"/>
        <v>2025</v>
      </c>
      <c r="E446" s="3">
        <v>45885</v>
      </c>
      <c r="F446">
        <f t="shared" si="54"/>
        <v>-114</v>
      </c>
      <c r="G446" t="s">
        <v>1432</v>
      </c>
      <c r="H446" t="s">
        <v>62</v>
      </c>
      <c r="I446" t="s">
        <v>24</v>
      </c>
      <c r="J446" t="s">
        <v>38</v>
      </c>
      <c r="K446" t="s">
        <v>166</v>
      </c>
      <c r="L446" t="s">
        <v>167</v>
      </c>
      <c r="M446" t="s">
        <v>74</v>
      </c>
      <c r="N446" t="s">
        <v>75</v>
      </c>
      <c r="O446" t="s">
        <v>1433</v>
      </c>
      <c r="P446" t="s">
        <v>44</v>
      </c>
      <c r="Q446">
        <v>9</v>
      </c>
      <c r="R446">
        <v>2379.2399999999998</v>
      </c>
      <c r="S446" s="6">
        <v>0.05</v>
      </c>
      <c r="T446" s="6">
        <f t="shared" si="57"/>
        <v>0.05</v>
      </c>
      <c r="U446">
        <v>20342.5</v>
      </c>
      <c r="V446">
        <f t="shared" si="58"/>
        <v>20342.501999999997</v>
      </c>
      <c r="W446" s="6">
        <f t="shared" si="59"/>
        <v>1.9999999967694748E-3</v>
      </c>
      <c r="X446">
        <v>12407.51</v>
      </c>
      <c r="Y446">
        <v>7934.99</v>
      </c>
      <c r="Z446">
        <f t="shared" si="60"/>
        <v>7934.9919999999966</v>
      </c>
      <c r="AA446" s="6">
        <f t="shared" si="61"/>
        <v>1.9999999967694748E-3</v>
      </c>
      <c r="AB446">
        <f t="shared" si="62"/>
        <v>0.39006961877157481</v>
      </c>
      <c r="AC446" t="s">
        <v>32</v>
      </c>
      <c r="AD446" t="s">
        <v>33</v>
      </c>
      <c r="AE446" t="s">
        <v>2826</v>
      </c>
      <c r="AF446" s="10" t="s">
        <v>2790</v>
      </c>
    </row>
    <row r="447" spans="1:32">
      <c r="A447" t="s">
        <v>1434</v>
      </c>
      <c r="B447" s="3">
        <v>45421</v>
      </c>
      <c r="C447" t="str">
        <f t="shared" si="55"/>
        <v>May</v>
      </c>
      <c r="D447">
        <f t="shared" si="56"/>
        <v>2024</v>
      </c>
      <c r="E447" s="3">
        <v>45417</v>
      </c>
      <c r="F447">
        <f t="shared" si="54"/>
        <v>-4</v>
      </c>
      <c r="G447" t="s">
        <v>1435</v>
      </c>
      <c r="H447" t="s">
        <v>53</v>
      </c>
      <c r="I447" t="s">
        <v>24</v>
      </c>
      <c r="J447" t="s">
        <v>38</v>
      </c>
      <c r="K447" t="s">
        <v>166</v>
      </c>
      <c r="L447" t="s">
        <v>167</v>
      </c>
      <c r="M447" t="s">
        <v>41</v>
      </c>
      <c r="N447" t="s">
        <v>158</v>
      </c>
      <c r="O447" t="s">
        <v>1436</v>
      </c>
      <c r="P447" t="s">
        <v>44</v>
      </c>
      <c r="Q447">
        <v>2</v>
      </c>
      <c r="R447">
        <v>2111.23</v>
      </c>
      <c r="S447" s="6">
        <v>0.2</v>
      </c>
      <c r="T447" s="6">
        <f t="shared" si="57"/>
        <v>0.2</v>
      </c>
      <c r="U447">
        <v>3377.97</v>
      </c>
      <c r="V447">
        <f t="shared" si="58"/>
        <v>3377.9680000000003</v>
      </c>
      <c r="W447" s="6">
        <f t="shared" si="59"/>
        <v>-1.9999999994979589E-3</v>
      </c>
      <c r="X447">
        <v>2496.29</v>
      </c>
      <c r="Y447">
        <v>881.68</v>
      </c>
      <c r="Z447">
        <f t="shared" si="60"/>
        <v>881.67800000000034</v>
      </c>
      <c r="AA447" s="6">
        <f t="shared" si="61"/>
        <v>-1.9999999996116458E-3</v>
      </c>
      <c r="AB447">
        <f t="shared" si="62"/>
        <v>0.26100839321154029</v>
      </c>
      <c r="AC447" t="s">
        <v>32</v>
      </c>
      <c r="AD447" t="s">
        <v>33</v>
      </c>
      <c r="AE447" t="s">
        <v>2826</v>
      </c>
      <c r="AF447" s="10" t="s">
        <v>2790</v>
      </c>
    </row>
    <row r="448" spans="1:32">
      <c r="A448" t="s">
        <v>1437</v>
      </c>
      <c r="B448" s="3">
        <v>45918</v>
      </c>
      <c r="C448" t="str">
        <f t="shared" si="55"/>
        <v>September</v>
      </c>
      <c r="D448">
        <f t="shared" si="56"/>
        <v>2025</v>
      </c>
      <c r="E448" s="3">
        <v>45919</v>
      </c>
      <c r="F448">
        <f t="shared" si="54"/>
        <v>1</v>
      </c>
      <c r="G448" t="s">
        <v>1438</v>
      </c>
      <c r="H448" t="s">
        <v>132</v>
      </c>
      <c r="I448" t="s">
        <v>95</v>
      </c>
      <c r="J448" t="s">
        <v>54</v>
      </c>
      <c r="K448" t="s">
        <v>84</v>
      </c>
      <c r="L448" t="s">
        <v>85</v>
      </c>
      <c r="M448" t="s">
        <v>28</v>
      </c>
      <c r="N448" t="s">
        <v>124</v>
      </c>
      <c r="O448" t="s">
        <v>1439</v>
      </c>
      <c r="P448" t="s">
        <v>44</v>
      </c>
      <c r="Q448">
        <v>8</v>
      </c>
      <c r="R448">
        <v>4242.51</v>
      </c>
      <c r="S448" s="6">
        <v>0</v>
      </c>
      <c r="T448" s="6">
        <f t="shared" si="57"/>
        <v>0</v>
      </c>
      <c r="U448">
        <v>33940.080000000002</v>
      </c>
      <c r="V448">
        <f t="shared" si="58"/>
        <v>33940.080000000002</v>
      </c>
      <c r="W448" s="6">
        <f t="shared" si="59"/>
        <v>0</v>
      </c>
      <c r="X448">
        <v>23754.19</v>
      </c>
      <c r="Y448">
        <v>10185.89</v>
      </c>
      <c r="Z448">
        <f t="shared" si="60"/>
        <v>10185.890000000003</v>
      </c>
      <c r="AA448" s="6">
        <f t="shared" si="61"/>
        <v>0</v>
      </c>
      <c r="AB448">
        <f t="shared" si="62"/>
        <v>0.30011390662603044</v>
      </c>
      <c r="AC448" t="s">
        <v>32</v>
      </c>
      <c r="AD448" t="s">
        <v>33</v>
      </c>
      <c r="AE448" t="s">
        <v>2828</v>
      </c>
    </row>
    <row r="449" spans="1:32">
      <c r="A449" t="s">
        <v>1440</v>
      </c>
      <c r="B449" s="3">
        <v>45938</v>
      </c>
      <c r="C449" t="str">
        <f t="shared" si="55"/>
        <v>October</v>
      </c>
      <c r="D449">
        <f t="shared" si="56"/>
        <v>2025</v>
      </c>
      <c r="E449" s="3">
        <v>45938</v>
      </c>
      <c r="F449">
        <f t="shared" si="54"/>
        <v>0</v>
      </c>
      <c r="G449" t="s">
        <v>1441</v>
      </c>
      <c r="H449" t="s">
        <v>141</v>
      </c>
      <c r="I449" t="s">
        <v>95</v>
      </c>
      <c r="J449" t="s">
        <v>54</v>
      </c>
      <c r="K449" t="s">
        <v>55</v>
      </c>
      <c r="L449" t="s">
        <v>56</v>
      </c>
      <c r="M449" t="s">
        <v>41</v>
      </c>
      <c r="N449" t="s">
        <v>158</v>
      </c>
      <c r="O449" t="s">
        <v>1442</v>
      </c>
      <c r="P449" t="s">
        <v>59</v>
      </c>
      <c r="Q449">
        <v>6</v>
      </c>
      <c r="R449">
        <v>4288.7</v>
      </c>
      <c r="S449" s="6">
        <v>0.15</v>
      </c>
      <c r="T449" s="6">
        <f t="shared" si="57"/>
        <v>0.15</v>
      </c>
      <c r="U449">
        <v>21872.37</v>
      </c>
      <c r="V449">
        <f t="shared" si="58"/>
        <v>21872.369999999995</v>
      </c>
      <c r="W449" s="6">
        <f t="shared" si="59"/>
        <v>0</v>
      </c>
      <c r="X449">
        <v>13829.5</v>
      </c>
      <c r="Y449">
        <v>8042.87</v>
      </c>
      <c r="Z449">
        <f t="shared" si="60"/>
        <v>8042.8699999999953</v>
      </c>
      <c r="AA449" s="6">
        <f t="shared" si="61"/>
        <v>0</v>
      </c>
      <c r="AB449">
        <f t="shared" si="62"/>
        <v>0.36771826738483288</v>
      </c>
      <c r="AC449" t="s">
        <v>111</v>
      </c>
      <c r="AD449" t="s">
        <v>103</v>
      </c>
      <c r="AE449" t="s">
        <v>2827</v>
      </c>
      <c r="AF449" t="s">
        <v>2814</v>
      </c>
    </row>
    <row r="450" spans="1:32">
      <c r="A450" t="s">
        <v>1443</v>
      </c>
      <c r="B450" s="3">
        <v>45306</v>
      </c>
      <c r="C450" t="str">
        <f t="shared" si="55"/>
        <v>January</v>
      </c>
      <c r="D450">
        <f t="shared" si="56"/>
        <v>2024</v>
      </c>
      <c r="E450" s="3">
        <v>45309</v>
      </c>
      <c r="F450">
        <f t="shared" ref="F450:F513" si="63">E450-B450</f>
        <v>3</v>
      </c>
      <c r="G450" t="s">
        <v>1444</v>
      </c>
      <c r="H450" t="s">
        <v>36</v>
      </c>
      <c r="I450" t="s">
        <v>37</v>
      </c>
      <c r="J450" t="s">
        <v>54</v>
      </c>
      <c r="K450" t="s">
        <v>84</v>
      </c>
      <c r="L450" t="s">
        <v>85</v>
      </c>
      <c r="M450" t="s">
        <v>41</v>
      </c>
      <c r="N450" t="s">
        <v>66</v>
      </c>
      <c r="O450" t="s">
        <v>1445</v>
      </c>
      <c r="P450" t="s">
        <v>50</v>
      </c>
      <c r="Q450">
        <v>2</v>
      </c>
      <c r="R450">
        <v>201.21</v>
      </c>
      <c r="S450" s="6">
        <v>0.15</v>
      </c>
      <c r="T450" s="6">
        <f t="shared" si="57"/>
        <v>0.15</v>
      </c>
      <c r="U450">
        <v>342.06</v>
      </c>
      <c r="V450">
        <f t="shared" si="58"/>
        <v>342.05700000000002</v>
      </c>
      <c r="W450" s="6">
        <f t="shared" si="59"/>
        <v>-2.9999999999859028E-3</v>
      </c>
      <c r="X450">
        <v>244.57</v>
      </c>
      <c r="Y450">
        <v>97.49</v>
      </c>
      <c r="Z450">
        <f t="shared" si="60"/>
        <v>97.487000000000023</v>
      </c>
      <c r="AA450" s="6">
        <f t="shared" si="61"/>
        <v>-2.999999999971692E-3</v>
      </c>
      <c r="AB450">
        <f t="shared" si="62"/>
        <v>0.28500220723446684</v>
      </c>
      <c r="AC450" t="s">
        <v>32</v>
      </c>
      <c r="AD450" t="s">
        <v>33</v>
      </c>
      <c r="AE450" t="s">
        <v>2828</v>
      </c>
    </row>
    <row r="451" spans="1:32">
      <c r="A451" t="s">
        <v>1446</v>
      </c>
      <c r="B451" s="3">
        <v>45449</v>
      </c>
      <c r="C451" t="str">
        <f t="shared" ref="C451:C514" si="64">TEXT(B451, "mmmm")</f>
        <v>June</v>
      </c>
      <c r="D451">
        <f t="shared" ref="D451:D514" si="65">YEAR(B451)</f>
        <v>2024</v>
      </c>
      <c r="E451" s="3">
        <v>45456</v>
      </c>
      <c r="F451">
        <f t="shared" si="63"/>
        <v>7</v>
      </c>
      <c r="G451" t="s">
        <v>1340</v>
      </c>
      <c r="H451" t="s">
        <v>89</v>
      </c>
      <c r="I451" t="s">
        <v>90</v>
      </c>
      <c r="J451" t="s">
        <v>38</v>
      </c>
      <c r="K451" t="s">
        <v>166</v>
      </c>
      <c r="L451" t="s">
        <v>167</v>
      </c>
      <c r="M451" t="s">
        <v>74</v>
      </c>
      <c r="N451" t="s">
        <v>274</v>
      </c>
      <c r="O451" t="s">
        <v>1447</v>
      </c>
      <c r="P451" t="s">
        <v>31</v>
      </c>
      <c r="Q451">
        <v>6</v>
      </c>
      <c r="R451">
        <v>3270.36</v>
      </c>
      <c r="S451" s="6">
        <v>0</v>
      </c>
      <c r="T451" s="6">
        <f t="shared" ref="T451:T514" si="66">ABS(S451)</f>
        <v>0</v>
      </c>
      <c r="U451">
        <v>19622.16</v>
      </c>
      <c r="V451">
        <f t="shared" ref="V451:V514" si="67">Q451*R451*(1-T451)</f>
        <v>19622.16</v>
      </c>
      <c r="W451" s="6">
        <f t="shared" ref="W451:W514" si="68">V451-U451</f>
        <v>0</v>
      </c>
      <c r="X451">
        <v>14271.27</v>
      </c>
      <c r="Y451">
        <v>5350.89</v>
      </c>
      <c r="Z451">
        <f t="shared" ref="Z451:Z514" si="69">V451-X451</f>
        <v>5350.8899999999994</v>
      </c>
      <c r="AA451" s="6">
        <f t="shared" ref="AA451:AA514" si="70">Z451-Y451</f>
        <v>0</v>
      </c>
      <c r="AB451">
        <f t="shared" ref="AB451:AB514" si="71">Z451/V451</f>
        <v>0.27269627808559299</v>
      </c>
      <c r="AC451" t="s">
        <v>32</v>
      </c>
      <c r="AD451" t="s">
        <v>33</v>
      </c>
      <c r="AE451" t="s">
        <v>2828</v>
      </c>
    </row>
    <row r="452" spans="1:32">
      <c r="A452" t="s">
        <v>1448</v>
      </c>
      <c r="B452" s="3">
        <v>45820</v>
      </c>
      <c r="C452" t="str">
        <f t="shared" si="64"/>
        <v>June</v>
      </c>
      <c r="D452">
        <f t="shared" si="65"/>
        <v>2025</v>
      </c>
      <c r="E452" s="3">
        <v>45827</v>
      </c>
      <c r="F452">
        <f t="shared" si="63"/>
        <v>7</v>
      </c>
      <c r="G452" t="s">
        <v>1449</v>
      </c>
      <c r="H452" t="s">
        <v>62</v>
      </c>
      <c r="I452" t="s">
        <v>90</v>
      </c>
      <c r="J452" t="s">
        <v>25</v>
      </c>
      <c r="K452" t="s">
        <v>350</v>
      </c>
      <c r="L452" t="s">
        <v>351</v>
      </c>
      <c r="M452" t="s">
        <v>41</v>
      </c>
      <c r="N452" t="s">
        <v>66</v>
      </c>
      <c r="O452" t="s">
        <v>1450</v>
      </c>
      <c r="P452" t="s">
        <v>59</v>
      </c>
      <c r="Q452">
        <v>9</v>
      </c>
      <c r="R452">
        <v>2278.5700000000002</v>
      </c>
      <c r="S452" s="6">
        <v>0.25</v>
      </c>
      <c r="T452" s="6">
        <f t="shared" si="66"/>
        <v>0.25</v>
      </c>
      <c r="U452">
        <v>15380.35</v>
      </c>
      <c r="V452">
        <f t="shared" si="67"/>
        <v>15380.3475</v>
      </c>
      <c r="W452" s="6">
        <f t="shared" si="68"/>
        <v>-2.500000000509317E-3</v>
      </c>
      <c r="X452">
        <v>9907.3700000000008</v>
      </c>
      <c r="Y452">
        <v>5472.98</v>
      </c>
      <c r="Z452">
        <f t="shared" si="69"/>
        <v>5472.9774999999991</v>
      </c>
      <c r="AA452" s="6">
        <f t="shared" si="70"/>
        <v>-2.500000000509317E-3</v>
      </c>
      <c r="AB452">
        <f t="shared" si="71"/>
        <v>0.35584225258889624</v>
      </c>
      <c r="AC452" t="s">
        <v>32</v>
      </c>
      <c r="AD452" t="s">
        <v>33</v>
      </c>
      <c r="AE452" t="s">
        <v>2828</v>
      </c>
    </row>
    <row r="453" spans="1:32">
      <c r="A453" t="s">
        <v>1451</v>
      </c>
      <c r="B453" s="3">
        <v>45375</v>
      </c>
      <c r="C453" t="str">
        <f t="shared" si="64"/>
        <v>March</v>
      </c>
      <c r="D453">
        <f t="shared" si="65"/>
        <v>2024</v>
      </c>
      <c r="E453" s="3">
        <v>45377</v>
      </c>
      <c r="F453">
        <f t="shared" si="63"/>
        <v>2</v>
      </c>
      <c r="G453" t="s">
        <v>1452</v>
      </c>
      <c r="H453" t="s">
        <v>141</v>
      </c>
      <c r="I453" t="s">
        <v>37</v>
      </c>
      <c r="J453" t="s">
        <v>25</v>
      </c>
      <c r="K453" t="s">
        <v>236</v>
      </c>
      <c r="L453" t="s">
        <v>237</v>
      </c>
      <c r="M453" t="s">
        <v>28</v>
      </c>
      <c r="N453" t="s">
        <v>29</v>
      </c>
      <c r="O453" t="s">
        <v>1453</v>
      </c>
      <c r="P453" t="s">
        <v>31</v>
      </c>
      <c r="Q453">
        <v>8</v>
      </c>
      <c r="R453">
        <v>1917.64</v>
      </c>
      <c r="S453" s="6">
        <v>0.15</v>
      </c>
      <c r="T453" s="6">
        <f t="shared" si="66"/>
        <v>0.15</v>
      </c>
      <c r="U453">
        <v>13039.95</v>
      </c>
      <c r="V453">
        <f t="shared" si="67"/>
        <v>13039.952000000001</v>
      </c>
      <c r="W453" s="6">
        <f t="shared" si="68"/>
        <v>2.0000000004074536E-3</v>
      </c>
      <c r="X453">
        <v>11127.82</v>
      </c>
      <c r="Y453">
        <v>1912.13</v>
      </c>
      <c r="Z453">
        <f t="shared" si="69"/>
        <v>1912.1320000000014</v>
      </c>
      <c r="AA453" s="6">
        <f t="shared" si="70"/>
        <v>2.0000000013169483E-3</v>
      </c>
      <c r="AB453">
        <f t="shared" si="71"/>
        <v>0.1466364293365498</v>
      </c>
      <c r="AC453" t="s">
        <v>32</v>
      </c>
      <c r="AD453" t="s">
        <v>68</v>
      </c>
      <c r="AE453" t="s">
        <v>2827</v>
      </c>
      <c r="AF453" t="s">
        <v>2795</v>
      </c>
    </row>
    <row r="454" spans="1:32">
      <c r="A454" t="s">
        <v>1454</v>
      </c>
      <c r="B454" s="3">
        <v>45570</v>
      </c>
      <c r="C454" t="str">
        <f t="shared" si="64"/>
        <v>October</v>
      </c>
      <c r="D454">
        <f t="shared" si="65"/>
        <v>2024</v>
      </c>
      <c r="E454" s="3">
        <v>45428</v>
      </c>
      <c r="F454">
        <f t="shared" si="63"/>
        <v>-142</v>
      </c>
      <c r="G454" t="s">
        <v>1455</v>
      </c>
      <c r="H454" t="s">
        <v>162</v>
      </c>
      <c r="I454" t="s">
        <v>95</v>
      </c>
      <c r="J454" t="s">
        <v>38</v>
      </c>
      <c r="K454" t="s">
        <v>228</v>
      </c>
      <c r="L454" t="s">
        <v>229</v>
      </c>
      <c r="M454" t="s">
        <v>74</v>
      </c>
      <c r="N454" t="s">
        <v>75</v>
      </c>
      <c r="O454" t="s">
        <v>1456</v>
      </c>
      <c r="P454" t="s">
        <v>31</v>
      </c>
      <c r="Q454">
        <v>6</v>
      </c>
      <c r="R454">
        <v>2013.33</v>
      </c>
      <c r="S454" s="6">
        <v>0.2</v>
      </c>
      <c r="T454" s="6">
        <f t="shared" si="66"/>
        <v>0.2</v>
      </c>
      <c r="U454">
        <v>9663.98</v>
      </c>
      <c r="V454">
        <f t="shared" si="67"/>
        <v>9663.9840000000004</v>
      </c>
      <c r="W454" s="6">
        <f t="shared" si="68"/>
        <v>4.0000000008149073E-3</v>
      </c>
      <c r="X454">
        <v>5628.93</v>
      </c>
      <c r="Y454">
        <v>4035.05</v>
      </c>
      <c r="Z454">
        <f t="shared" si="69"/>
        <v>4035.0540000000001</v>
      </c>
      <c r="AA454" s="6">
        <f t="shared" si="70"/>
        <v>3.9999999999054126E-3</v>
      </c>
      <c r="AB454">
        <f t="shared" si="71"/>
        <v>0.41753525254180884</v>
      </c>
      <c r="AC454" t="s">
        <v>32</v>
      </c>
      <c r="AD454" t="s">
        <v>33</v>
      </c>
      <c r="AE454" t="s">
        <v>2826</v>
      </c>
      <c r="AF454" s="10" t="s">
        <v>2790</v>
      </c>
    </row>
    <row r="455" spans="1:32">
      <c r="A455" t="s">
        <v>1457</v>
      </c>
      <c r="B455" s="3">
        <v>45780</v>
      </c>
      <c r="C455" t="str">
        <f t="shared" si="64"/>
        <v>May</v>
      </c>
      <c r="D455">
        <f t="shared" si="65"/>
        <v>2025</v>
      </c>
      <c r="E455" s="3">
        <v>45966</v>
      </c>
      <c r="F455">
        <f t="shared" si="63"/>
        <v>186</v>
      </c>
      <c r="G455" t="s">
        <v>1458</v>
      </c>
      <c r="H455" t="s">
        <v>141</v>
      </c>
      <c r="I455" t="s">
        <v>37</v>
      </c>
      <c r="J455" t="s">
        <v>63</v>
      </c>
      <c r="K455" t="s">
        <v>72</v>
      </c>
      <c r="L455" t="s">
        <v>73</v>
      </c>
      <c r="M455" t="s">
        <v>28</v>
      </c>
      <c r="N455" t="s">
        <v>91</v>
      </c>
      <c r="O455" t="s">
        <v>1459</v>
      </c>
      <c r="P455" t="s">
        <v>44</v>
      </c>
      <c r="Q455">
        <v>5</v>
      </c>
      <c r="R455">
        <v>1483.52</v>
      </c>
      <c r="S455" s="6">
        <v>0</v>
      </c>
      <c r="T455" s="6">
        <f t="shared" si="66"/>
        <v>0</v>
      </c>
      <c r="U455">
        <v>7417.6</v>
      </c>
      <c r="V455">
        <f t="shared" si="67"/>
        <v>7417.6</v>
      </c>
      <c r="W455" s="6">
        <f t="shared" si="68"/>
        <v>0</v>
      </c>
      <c r="X455">
        <v>4955.8599999999997</v>
      </c>
      <c r="Y455">
        <v>2461.7399999999998</v>
      </c>
      <c r="Z455">
        <f t="shared" si="69"/>
        <v>2461.7400000000007</v>
      </c>
      <c r="AA455" s="6">
        <f t="shared" si="70"/>
        <v>0</v>
      </c>
      <c r="AB455">
        <f t="shared" si="71"/>
        <v>0.3318782355478862</v>
      </c>
      <c r="AC455" t="s">
        <v>32</v>
      </c>
      <c r="AD455" t="s">
        <v>33</v>
      </c>
      <c r="AE455" t="s">
        <v>2828</v>
      </c>
    </row>
    <row r="456" spans="1:32">
      <c r="A456" t="s">
        <v>1460</v>
      </c>
      <c r="B456" s="3">
        <v>45739</v>
      </c>
      <c r="C456" t="str">
        <f t="shared" si="64"/>
        <v>March</v>
      </c>
      <c r="D456">
        <f t="shared" si="65"/>
        <v>2025</v>
      </c>
      <c r="E456" s="3">
        <v>45744</v>
      </c>
      <c r="F456">
        <f t="shared" si="63"/>
        <v>5</v>
      </c>
      <c r="G456" t="s">
        <v>1461</v>
      </c>
      <c r="H456" t="s">
        <v>71</v>
      </c>
      <c r="I456" t="s">
        <v>37</v>
      </c>
      <c r="J456" t="s">
        <v>25</v>
      </c>
      <c r="K456" t="s">
        <v>26</v>
      </c>
      <c r="L456" t="s">
        <v>27</v>
      </c>
      <c r="M456" t="s">
        <v>41</v>
      </c>
      <c r="N456" t="s">
        <v>57</v>
      </c>
      <c r="O456" t="s">
        <v>1462</v>
      </c>
      <c r="P456" t="s">
        <v>59</v>
      </c>
      <c r="Q456">
        <v>9</v>
      </c>
      <c r="R456">
        <v>3298</v>
      </c>
      <c r="S456" s="6">
        <v>0.15</v>
      </c>
      <c r="T456" s="6">
        <f t="shared" si="66"/>
        <v>0.15</v>
      </c>
      <c r="U456">
        <v>25229.7</v>
      </c>
      <c r="V456">
        <f t="shared" si="67"/>
        <v>25229.7</v>
      </c>
      <c r="W456" s="6">
        <f t="shared" si="68"/>
        <v>0</v>
      </c>
      <c r="X456">
        <v>20170.43</v>
      </c>
      <c r="Y456">
        <v>5059.2700000000004</v>
      </c>
      <c r="Z456">
        <f t="shared" si="69"/>
        <v>5059.2700000000004</v>
      </c>
      <c r="AA456" s="6">
        <f t="shared" si="70"/>
        <v>0</v>
      </c>
      <c r="AB456">
        <f t="shared" si="71"/>
        <v>0.20052834556098567</v>
      </c>
      <c r="AC456" t="s">
        <v>32</v>
      </c>
      <c r="AD456" t="s">
        <v>33</v>
      </c>
      <c r="AE456" t="s">
        <v>2828</v>
      </c>
    </row>
    <row r="457" spans="1:32">
      <c r="A457" t="s">
        <v>1463</v>
      </c>
      <c r="B457" s="3">
        <v>45491</v>
      </c>
      <c r="C457" t="str">
        <f t="shared" si="64"/>
        <v>July</v>
      </c>
      <c r="D457">
        <f t="shared" si="65"/>
        <v>2024</v>
      </c>
      <c r="E457" s="3">
        <v>45495</v>
      </c>
      <c r="F457">
        <f t="shared" si="63"/>
        <v>4</v>
      </c>
      <c r="G457" t="s">
        <v>1464</v>
      </c>
      <c r="H457" t="s">
        <v>79</v>
      </c>
      <c r="I457" t="s">
        <v>37</v>
      </c>
      <c r="J457" t="s">
        <v>54</v>
      </c>
      <c r="K457" t="s">
        <v>55</v>
      </c>
      <c r="L457" t="s">
        <v>56</v>
      </c>
      <c r="M457" t="s">
        <v>28</v>
      </c>
      <c r="N457" t="s">
        <v>48</v>
      </c>
      <c r="O457" t="s">
        <v>1465</v>
      </c>
      <c r="P457" t="s">
        <v>59</v>
      </c>
      <c r="Q457">
        <v>4</v>
      </c>
      <c r="R457">
        <v>808.77</v>
      </c>
      <c r="S457" s="6">
        <v>0</v>
      </c>
      <c r="T457" s="6">
        <f t="shared" si="66"/>
        <v>0</v>
      </c>
      <c r="U457">
        <v>3235.08</v>
      </c>
      <c r="V457">
        <f t="shared" si="67"/>
        <v>3235.08</v>
      </c>
      <c r="W457" s="6">
        <f t="shared" si="68"/>
        <v>0</v>
      </c>
      <c r="X457">
        <v>1848.6</v>
      </c>
      <c r="Y457">
        <v>1386.48</v>
      </c>
      <c r="Z457">
        <f t="shared" si="69"/>
        <v>1386.48</v>
      </c>
      <c r="AA457" s="6">
        <f t="shared" si="70"/>
        <v>0</v>
      </c>
      <c r="AB457">
        <f t="shared" si="71"/>
        <v>0.42857672762342819</v>
      </c>
      <c r="AC457" t="s">
        <v>32</v>
      </c>
      <c r="AD457" t="s">
        <v>33</v>
      </c>
      <c r="AE457" t="s">
        <v>2828</v>
      </c>
    </row>
    <row r="458" spans="1:32">
      <c r="A458" t="s">
        <v>1466</v>
      </c>
      <c r="B458" s="3">
        <v>45342</v>
      </c>
      <c r="C458" t="str">
        <f t="shared" si="64"/>
        <v>February</v>
      </c>
      <c r="D458">
        <f t="shared" si="65"/>
        <v>2024</v>
      </c>
      <c r="E458" s="3">
        <v>45342</v>
      </c>
      <c r="F458">
        <f t="shared" si="63"/>
        <v>0</v>
      </c>
      <c r="G458" t="s">
        <v>1467</v>
      </c>
      <c r="H458" t="s">
        <v>79</v>
      </c>
      <c r="I458" t="s">
        <v>90</v>
      </c>
      <c r="J458" t="s">
        <v>25</v>
      </c>
      <c r="K458" t="s">
        <v>136</v>
      </c>
      <c r="L458" t="s">
        <v>137</v>
      </c>
      <c r="M458" t="s">
        <v>74</v>
      </c>
      <c r="N458" t="s">
        <v>75</v>
      </c>
      <c r="O458" t="s">
        <v>1468</v>
      </c>
      <c r="P458" t="s">
        <v>44</v>
      </c>
      <c r="Q458">
        <v>5</v>
      </c>
      <c r="R458">
        <v>2604.91</v>
      </c>
      <c r="S458" s="6">
        <v>0.15</v>
      </c>
      <c r="T458" s="6">
        <f t="shared" si="66"/>
        <v>0.15</v>
      </c>
      <c r="U458">
        <v>11070.87</v>
      </c>
      <c r="V458">
        <f t="shared" si="67"/>
        <v>11070.867499999998</v>
      </c>
      <c r="W458" s="6">
        <f t="shared" si="68"/>
        <v>-2.5000000023283064E-3</v>
      </c>
      <c r="X458">
        <v>6623.61</v>
      </c>
      <c r="Y458">
        <v>4447.26</v>
      </c>
      <c r="Z458">
        <f t="shared" si="69"/>
        <v>4447.2574999999988</v>
      </c>
      <c r="AA458" s="6">
        <f t="shared" si="70"/>
        <v>-2.5000000014188117E-3</v>
      </c>
      <c r="AB458">
        <f t="shared" si="71"/>
        <v>0.40170813172499803</v>
      </c>
      <c r="AC458" t="s">
        <v>32</v>
      </c>
      <c r="AD458" t="s">
        <v>103</v>
      </c>
      <c r="AE458" t="s">
        <v>2827</v>
      </c>
      <c r="AF458" t="s">
        <v>103</v>
      </c>
    </row>
    <row r="459" spans="1:32">
      <c r="A459" t="s">
        <v>1469</v>
      </c>
      <c r="B459" s="3">
        <v>45416</v>
      </c>
      <c r="C459" t="str">
        <f t="shared" si="64"/>
        <v>May</v>
      </c>
      <c r="D459">
        <f t="shared" si="65"/>
        <v>2024</v>
      </c>
      <c r="E459" s="3">
        <v>45387</v>
      </c>
      <c r="F459">
        <f t="shared" si="63"/>
        <v>-29</v>
      </c>
      <c r="G459" t="s">
        <v>1470</v>
      </c>
      <c r="H459" t="s">
        <v>36</v>
      </c>
      <c r="I459" t="s">
        <v>37</v>
      </c>
      <c r="J459" t="s">
        <v>63</v>
      </c>
      <c r="K459" t="s">
        <v>190</v>
      </c>
      <c r="L459" t="s">
        <v>191</v>
      </c>
      <c r="M459" t="s">
        <v>41</v>
      </c>
      <c r="N459" t="s">
        <v>42</v>
      </c>
      <c r="O459" t="s">
        <v>1471</v>
      </c>
      <c r="P459" t="s">
        <v>59</v>
      </c>
      <c r="Q459">
        <v>7</v>
      </c>
      <c r="R459">
        <v>2851.51</v>
      </c>
      <c r="S459" s="6">
        <v>0</v>
      </c>
      <c r="T459" s="6">
        <f t="shared" si="66"/>
        <v>0</v>
      </c>
      <c r="U459">
        <v>19960.57</v>
      </c>
      <c r="V459">
        <f t="shared" si="67"/>
        <v>19960.57</v>
      </c>
      <c r="W459" s="6">
        <f t="shared" si="68"/>
        <v>0</v>
      </c>
      <c r="X459">
        <v>16603.599999999999</v>
      </c>
      <c r="Y459">
        <v>3356.97</v>
      </c>
      <c r="Z459">
        <f t="shared" si="69"/>
        <v>3356.9700000000012</v>
      </c>
      <c r="AA459" s="6">
        <f t="shared" si="70"/>
        <v>0</v>
      </c>
      <c r="AB459">
        <f t="shared" si="71"/>
        <v>0.1681800670020947</v>
      </c>
      <c r="AC459" t="s">
        <v>32</v>
      </c>
      <c r="AD459" t="s">
        <v>33</v>
      </c>
      <c r="AE459" t="s">
        <v>2826</v>
      </c>
      <c r="AF459" s="10" t="s">
        <v>2790</v>
      </c>
    </row>
    <row r="460" spans="1:32">
      <c r="A460" t="s">
        <v>1472</v>
      </c>
      <c r="B460" s="3">
        <v>45567</v>
      </c>
      <c r="C460" t="str">
        <f t="shared" si="64"/>
        <v>October</v>
      </c>
      <c r="D460">
        <f t="shared" si="65"/>
        <v>2024</v>
      </c>
      <c r="E460" s="3">
        <v>45333</v>
      </c>
      <c r="F460">
        <f t="shared" si="63"/>
        <v>-234</v>
      </c>
      <c r="G460" t="s">
        <v>1473</v>
      </c>
      <c r="H460" t="s">
        <v>23</v>
      </c>
      <c r="I460" t="s">
        <v>90</v>
      </c>
      <c r="J460" t="s">
        <v>25</v>
      </c>
      <c r="K460" t="s">
        <v>26</v>
      </c>
      <c r="L460" t="s">
        <v>27</v>
      </c>
      <c r="M460" t="s">
        <v>74</v>
      </c>
      <c r="N460" t="s">
        <v>171</v>
      </c>
      <c r="O460" t="s">
        <v>1474</v>
      </c>
      <c r="P460" t="s">
        <v>31</v>
      </c>
      <c r="Q460">
        <v>3</v>
      </c>
      <c r="R460">
        <v>3183.72</v>
      </c>
      <c r="S460" s="6">
        <v>0.1</v>
      </c>
      <c r="T460" s="6">
        <f t="shared" si="66"/>
        <v>0.1</v>
      </c>
      <c r="U460">
        <v>8596.0400000000009</v>
      </c>
      <c r="V460">
        <f t="shared" si="67"/>
        <v>8596.0439999999999</v>
      </c>
      <c r="W460" s="6">
        <f t="shared" si="68"/>
        <v>3.9999999989959178E-3</v>
      </c>
      <c r="X460">
        <v>5378.16</v>
      </c>
      <c r="Y460">
        <v>3217.88</v>
      </c>
      <c r="Z460">
        <f t="shared" si="69"/>
        <v>3217.884</v>
      </c>
      <c r="AA460" s="6">
        <f t="shared" si="70"/>
        <v>3.9999999999054126E-3</v>
      </c>
      <c r="AB460">
        <f t="shared" si="71"/>
        <v>0.37434475672762962</v>
      </c>
      <c r="AC460" t="s">
        <v>32</v>
      </c>
      <c r="AD460" t="s">
        <v>33</v>
      </c>
      <c r="AE460" t="s">
        <v>2826</v>
      </c>
      <c r="AF460" s="10" t="s">
        <v>2790</v>
      </c>
    </row>
    <row r="461" spans="1:32">
      <c r="A461" t="s">
        <v>1475</v>
      </c>
      <c r="B461" s="3">
        <v>45379</v>
      </c>
      <c r="C461" t="str">
        <f t="shared" si="64"/>
        <v>March</v>
      </c>
      <c r="D461">
        <f t="shared" si="65"/>
        <v>2024</v>
      </c>
      <c r="E461" s="3">
        <v>45386</v>
      </c>
      <c r="F461">
        <f t="shared" si="63"/>
        <v>7</v>
      </c>
      <c r="G461" t="s">
        <v>1476</v>
      </c>
      <c r="H461" t="s">
        <v>62</v>
      </c>
      <c r="I461" t="s">
        <v>95</v>
      </c>
      <c r="J461" t="s">
        <v>63</v>
      </c>
      <c r="K461" t="s">
        <v>190</v>
      </c>
      <c r="L461" t="s">
        <v>191</v>
      </c>
      <c r="M461" t="s">
        <v>28</v>
      </c>
      <c r="N461" t="s">
        <v>29</v>
      </c>
      <c r="O461" t="s">
        <v>1477</v>
      </c>
      <c r="P461" t="s">
        <v>50</v>
      </c>
      <c r="Q461">
        <v>3</v>
      </c>
      <c r="R461">
        <v>1150.92</v>
      </c>
      <c r="S461" s="6">
        <v>0</v>
      </c>
      <c r="T461" s="6">
        <f t="shared" si="66"/>
        <v>0</v>
      </c>
      <c r="U461">
        <v>3452.76</v>
      </c>
      <c r="V461">
        <f t="shared" si="67"/>
        <v>3452.76</v>
      </c>
      <c r="W461" s="6">
        <f t="shared" si="68"/>
        <v>0</v>
      </c>
      <c r="X461">
        <v>2077.96</v>
      </c>
      <c r="Y461">
        <v>1374.8</v>
      </c>
      <c r="Z461">
        <f t="shared" si="69"/>
        <v>1374.8000000000002</v>
      </c>
      <c r="AA461" s="6">
        <f t="shared" si="70"/>
        <v>0</v>
      </c>
      <c r="AB461">
        <f t="shared" si="71"/>
        <v>0.39817421425178701</v>
      </c>
      <c r="AC461" t="s">
        <v>32</v>
      </c>
      <c r="AD461" t="s">
        <v>33</v>
      </c>
      <c r="AE461" t="s">
        <v>2828</v>
      </c>
    </row>
    <row r="462" spans="1:32">
      <c r="A462" t="s">
        <v>1478</v>
      </c>
      <c r="B462" s="3">
        <v>45930</v>
      </c>
      <c r="C462" t="str">
        <f t="shared" si="64"/>
        <v>September</v>
      </c>
      <c r="D462">
        <f t="shared" si="65"/>
        <v>2025</v>
      </c>
      <c r="E462" s="3">
        <v>45818</v>
      </c>
      <c r="F462">
        <f t="shared" si="63"/>
        <v>-112</v>
      </c>
      <c r="G462" t="s">
        <v>1479</v>
      </c>
      <c r="H462" t="s">
        <v>128</v>
      </c>
      <c r="I462" t="s">
        <v>90</v>
      </c>
      <c r="J462" t="s">
        <v>2781</v>
      </c>
      <c r="K462" t="s">
        <v>26</v>
      </c>
      <c r="L462" t="s">
        <v>27</v>
      </c>
      <c r="M462" t="s">
        <v>74</v>
      </c>
      <c r="N462" t="s">
        <v>80</v>
      </c>
      <c r="O462" t="s">
        <v>1480</v>
      </c>
      <c r="P462" t="s">
        <v>31</v>
      </c>
      <c r="Q462">
        <v>9</v>
      </c>
      <c r="R462">
        <v>1359.88</v>
      </c>
      <c r="S462" s="6">
        <v>0.05</v>
      </c>
      <c r="T462" s="6">
        <f t="shared" si="66"/>
        <v>0.05</v>
      </c>
      <c r="U462">
        <v>11626.97</v>
      </c>
      <c r="V462">
        <f t="shared" si="67"/>
        <v>11626.974000000002</v>
      </c>
      <c r="W462" s="6">
        <f t="shared" si="68"/>
        <v>4.0000000026338967E-3</v>
      </c>
      <c r="X462">
        <v>7394.07</v>
      </c>
      <c r="Y462">
        <v>4232.8999999999996</v>
      </c>
      <c r="Z462">
        <f t="shared" si="69"/>
        <v>4232.9040000000023</v>
      </c>
      <c r="AA462" s="6">
        <f t="shared" si="70"/>
        <v>4.0000000026338967E-3</v>
      </c>
      <c r="AB462">
        <f t="shared" si="71"/>
        <v>0.36405895463428417</v>
      </c>
      <c r="AC462" t="s">
        <v>32</v>
      </c>
      <c r="AD462" t="s">
        <v>33</v>
      </c>
      <c r="AE462" t="s">
        <v>2826</v>
      </c>
      <c r="AF462" s="10" t="s">
        <v>2790</v>
      </c>
    </row>
    <row r="463" spans="1:32">
      <c r="A463" t="s">
        <v>1481</v>
      </c>
      <c r="B463" s="3">
        <v>45802</v>
      </c>
      <c r="C463" t="str">
        <f t="shared" si="64"/>
        <v>May</v>
      </c>
      <c r="D463">
        <f t="shared" si="65"/>
        <v>2025</v>
      </c>
      <c r="E463" s="3">
        <v>45803</v>
      </c>
      <c r="F463">
        <f t="shared" si="63"/>
        <v>1</v>
      </c>
      <c r="G463" t="s">
        <v>1482</v>
      </c>
      <c r="H463" t="s">
        <v>79</v>
      </c>
      <c r="I463" t="s">
        <v>90</v>
      </c>
      <c r="J463" t="s">
        <v>54</v>
      </c>
      <c r="K463" t="s">
        <v>84</v>
      </c>
      <c r="L463" t="s">
        <v>85</v>
      </c>
      <c r="M463" t="s">
        <v>28</v>
      </c>
      <c r="N463" t="s">
        <v>29</v>
      </c>
      <c r="O463" t="s">
        <v>1483</v>
      </c>
      <c r="P463" t="s">
        <v>59</v>
      </c>
      <c r="Q463">
        <v>3</v>
      </c>
      <c r="R463">
        <v>3378.15</v>
      </c>
      <c r="S463" s="6">
        <v>0.15</v>
      </c>
      <c r="T463" s="6">
        <f t="shared" si="66"/>
        <v>0.15</v>
      </c>
      <c r="U463">
        <v>8614.2800000000007</v>
      </c>
      <c r="V463">
        <f t="shared" si="67"/>
        <v>8614.2825000000012</v>
      </c>
      <c r="W463" s="6">
        <f t="shared" si="68"/>
        <v>2.500000000509317E-3</v>
      </c>
      <c r="X463">
        <v>7052.08</v>
      </c>
      <c r="Y463">
        <v>1562.2</v>
      </c>
      <c r="Z463">
        <f t="shared" si="69"/>
        <v>1562.2025000000012</v>
      </c>
      <c r="AA463" s="6">
        <f t="shared" si="70"/>
        <v>2.5000000011914381E-3</v>
      </c>
      <c r="AB463">
        <f t="shared" si="71"/>
        <v>0.18135027496486225</v>
      </c>
      <c r="AC463" t="s">
        <v>32</v>
      </c>
      <c r="AD463" t="s">
        <v>33</v>
      </c>
      <c r="AE463" t="s">
        <v>2828</v>
      </c>
    </row>
    <row r="464" spans="1:32">
      <c r="A464" t="s">
        <v>1484</v>
      </c>
      <c r="B464" s="3">
        <v>45558</v>
      </c>
      <c r="C464" t="str">
        <f t="shared" si="64"/>
        <v>September</v>
      </c>
      <c r="D464">
        <f t="shared" si="65"/>
        <v>2024</v>
      </c>
      <c r="E464" s="3">
        <v>45560</v>
      </c>
      <c r="F464">
        <f t="shared" si="63"/>
        <v>2</v>
      </c>
      <c r="G464" t="s">
        <v>1485</v>
      </c>
      <c r="H464" t="s">
        <v>128</v>
      </c>
      <c r="I464" t="s">
        <v>95</v>
      </c>
      <c r="J464" t="s">
        <v>25</v>
      </c>
      <c r="K464" t="s">
        <v>350</v>
      </c>
      <c r="L464" t="s">
        <v>351</v>
      </c>
      <c r="M464" t="s">
        <v>28</v>
      </c>
      <c r="N464" t="s">
        <v>153</v>
      </c>
      <c r="O464" t="s">
        <v>1486</v>
      </c>
      <c r="P464" t="s">
        <v>50</v>
      </c>
      <c r="Q464">
        <v>2</v>
      </c>
      <c r="R464">
        <v>1275.1400000000001</v>
      </c>
      <c r="S464" s="6">
        <v>0.2</v>
      </c>
      <c r="T464" s="6">
        <f t="shared" si="66"/>
        <v>0.2</v>
      </c>
      <c r="U464">
        <v>2040.22</v>
      </c>
      <c r="V464">
        <f t="shared" si="67"/>
        <v>2040.2240000000002</v>
      </c>
      <c r="W464" s="6">
        <f t="shared" si="68"/>
        <v>4.0000000001327862E-3</v>
      </c>
      <c r="X464">
        <v>1395.71</v>
      </c>
      <c r="Y464">
        <v>644.51</v>
      </c>
      <c r="Z464">
        <f t="shared" si="69"/>
        <v>644.51400000000012</v>
      </c>
      <c r="AA464" s="6">
        <f t="shared" si="70"/>
        <v>4.0000000001327862E-3</v>
      </c>
      <c r="AB464">
        <f t="shared" si="71"/>
        <v>0.31590354784572677</v>
      </c>
      <c r="AC464" t="s">
        <v>32</v>
      </c>
      <c r="AD464" t="s">
        <v>33</v>
      </c>
      <c r="AE464" t="s">
        <v>2828</v>
      </c>
    </row>
    <row r="465" spans="1:32">
      <c r="A465" t="s">
        <v>1487</v>
      </c>
      <c r="B465" s="3">
        <v>45840</v>
      </c>
      <c r="C465" t="str">
        <f t="shared" si="64"/>
        <v>July</v>
      </c>
      <c r="D465">
        <f t="shared" si="65"/>
        <v>2025</v>
      </c>
      <c r="E465" s="3">
        <v>45871</v>
      </c>
      <c r="F465">
        <f t="shared" si="63"/>
        <v>31</v>
      </c>
      <c r="G465" t="s">
        <v>1488</v>
      </c>
      <c r="H465" t="s">
        <v>53</v>
      </c>
      <c r="I465" t="s">
        <v>90</v>
      </c>
      <c r="J465" t="s">
        <v>63</v>
      </c>
      <c r="K465" t="s">
        <v>72</v>
      </c>
      <c r="L465" t="s">
        <v>73</v>
      </c>
      <c r="M465" t="s">
        <v>74</v>
      </c>
      <c r="N465" t="s">
        <v>171</v>
      </c>
      <c r="O465" t="s">
        <v>1489</v>
      </c>
      <c r="P465" t="s">
        <v>59</v>
      </c>
      <c r="Q465">
        <v>4</v>
      </c>
      <c r="R465">
        <v>889.5</v>
      </c>
      <c r="S465" s="6">
        <v>0.2</v>
      </c>
      <c r="T465" s="6">
        <f t="shared" si="66"/>
        <v>0.2</v>
      </c>
      <c r="U465">
        <v>2846.4</v>
      </c>
      <c r="V465">
        <f t="shared" si="67"/>
        <v>2846.4</v>
      </c>
      <c r="W465" s="6">
        <f t="shared" si="68"/>
        <v>0</v>
      </c>
      <c r="X465">
        <v>2132.37</v>
      </c>
      <c r="Y465">
        <v>714.03</v>
      </c>
      <c r="Z465">
        <f t="shared" si="69"/>
        <v>714.0300000000002</v>
      </c>
      <c r="AA465" s="6">
        <f t="shared" si="70"/>
        <v>0</v>
      </c>
      <c r="AB465">
        <f t="shared" si="71"/>
        <v>0.25085370994940986</v>
      </c>
      <c r="AC465" t="s">
        <v>32</v>
      </c>
      <c r="AD465" t="s">
        <v>33</v>
      </c>
      <c r="AE465" t="s">
        <v>2828</v>
      </c>
    </row>
    <row r="466" spans="1:32">
      <c r="A466" t="s">
        <v>1490</v>
      </c>
      <c r="B466" s="3">
        <v>45964</v>
      </c>
      <c r="C466" t="str">
        <f t="shared" si="64"/>
        <v>November</v>
      </c>
      <c r="D466">
        <f t="shared" si="65"/>
        <v>2025</v>
      </c>
      <c r="E466" s="3">
        <v>45731</v>
      </c>
      <c r="F466">
        <f t="shared" si="63"/>
        <v>-233</v>
      </c>
      <c r="G466" t="s">
        <v>1491</v>
      </c>
      <c r="H466" t="s">
        <v>53</v>
      </c>
      <c r="I466" t="s">
        <v>90</v>
      </c>
      <c r="J466" t="s">
        <v>38</v>
      </c>
      <c r="K466" t="s">
        <v>145</v>
      </c>
      <c r="L466" t="s">
        <v>146</v>
      </c>
      <c r="M466" t="s">
        <v>28</v>
      </c>
      <c r="N466" t="s">
        <v>29</v>
      </c>
      <c r="O466" t="s">
        <v>1492</v>
      </c>
      <c r="P466" t="s">
        <v>44</v>
      </c>
      <c r="Q466">
        <v>3</v>
      </c>
      <c r="R466">
        <v>3625.08</v>
      </c>
      <c r="S466" s="6">
        <v>0.05</v>
      </c>
      <c r="T466" s="6">
        <f t="shared" si="66"/>
        <v>0.05</v>
      </c>
      <c r="U466">
        <v>10331.48</v>
      </c>
      <c r="V466">
        <f t="shared" si="67"/>
        <v>10331.477999999999</v>
      </c>
      <c r="W466" s="6">
        <f t="shared" si="68"/>
        <v>-2.0000000004074536E-3</v>
      </c>
      <c r="X466">
        <v>7131.91</v>
      </c>
      <c r="Y466">
        <v>3199.57</v>
      </c>
      <c r="Z466">
        <f t="shared" si="69"/>
        <v>3199.5679999999993</v>
      </c>
      <c r="AA466" s="6">
        <f t="shared" si="70"/>
        <v>-2.000000000862201E-3</v>
      </c>
      <c r="AB466">
        <f t="shared" si="71"/>
        <v>0.30969121746181905</v>
      </c>
      <c r="AC466" t="s">
        <v>111</v>
      </c>
      <c r="AD466" t="s">
        <v>68</v>
      </c>
      <c r="AE466" t="s">
        <v>2826</v>
      </c>
      <c r="AF466" s="10" t="s">
        <v>2806</v>
      </c>
    </row>
    <row r="467" spans="1:32">
      <c r="A467" t="s">
        <v>1493</v>
      </c>
      <c r="B467" s="3">
        <v>45320</v>
      </c>
      <c r="C467" t="str">
        <f t="shared" si="64"/>
        <v>January</v>
      </c>
      <c r="D467">
        <f t="shared" si="65"/>
        <v>2024</v>
      </c>
      <c r="E467" s="3">
        <v>45445</v>
      </c>
      <c r="F467">
        <f t="shared" si="63"/>
        <v>125</v>
      </c>
      <c r="G467" t="s">
        <v>1494</v>
      </c>
      <c r="H467" t="s">
        <v>128</v>
      </c>
      <c r="I467" t="s">
        <v>37</v>
      </c>
      <c r="J467" t="s">
        <v>63</v>
      </c>
      <c r="K467" t="s">
        <v>72</v>
      </c>
      <c r="L467" t="s">
        <v>73</v>
      </c>
      <c r="M467" t="s">
        <v>28</v>
      </c>
      <c r="N467" t="s">
        <v>91</v>
      </c>
      <c r="O467" t="s">
        <v>1495</v>
      </c>
      <c r="P467" t="s">
        <v>59</v>
      </c>
      <c r="Q467">
        <v>2</v>
      </c>
      <c r="R467">
        <v>1258.9000000000001</v>
      </c>
      <c r="S467" s="6">
        <v>0</v>
      </c>
      <c r="T467" s="6">
        <f t="shared" si="66"/>
        <v>0</v>
      </c>
      <c r="U467">
        <v>2517.8000000000002</v>
      </c>
      <c r="V467">
        <f t="shared" si="67"/>
        <v>2517.8000000000002</v>
      </c>
      <c r="W467" s="6">
        <f t="shared" si="68"/>
        <v>0</v>
      </c>
      <c r="X467">
        <v>1478.54</v>
      </c>
      <c r="Y467">
        <v>1039.26</v>
      </c>
      <c r="Z467">
        <f t="shared" si="69"/>
        <v>1039.2600000000002</v>
      </c>
      <c r="AA467" s="6">
        <f t="shared" si="70"/>
        <v>0</v>
      </c>
      <c r="AB467">
        <f t="shared" si="71"/>
        <v>0.41276511239971408</v>
      </c>
      <c r="AC467" t="s">
        <v>32</v>
      </c>
      <c r="AD467" t="s">
        <v>33</v>
      </c>
      <c r="AE467" t="s">
        <v>2828</v>
      </c>
    </row>
    <row r="468" spans="1:32">
      <c r="A468" t="s">
        <v>1496</v>
      </c>
      <c r="B468" s="3">
        <v>45383</v>
      </c>
      <c r="C468" t="str">
        <f t="shared" si="64"/>
        <v>April</v>
      </c>
      <c r="D468">
        <f t="shared" si="65"/>
        <v>2024</v>
      </c>
      <c r="E468" s="3">
        <v>45299</v>
      </c>
      <c r="F468">
        <f t="shared" si="63"/>
        <v>-84</v>
      </c>
      <c r="G468" t="s">
        <v>1497</v>
      </c>
      <c r="H468" t="s">
        <v>36</v>
      </c>
      <c r="I468" t="s">
        <v>37</v>
      </c>
      <c r="J468" t="s">
        <v>38</v>
      </c>
      <c r="K468" t="s">
        <v>145</v>
      </c>
      <c r="L468" t="s">
        <v>146</v>
      </c>
      <c r="M468" t="s">
        <v>74</v>
      </c>
      <c r="N468" t="s">
        <v>75</v>
      </c>
      <c r="O468" t="s">
        <v>1498</v>
      </c>
      <c r="P468" t="s">
        <v>44</v>
      </c>
      <c r="Q468">
        <v>9</v>
      </c>
      <c r="R468">
        <v>1591.96</v>
      </c>
      <c r="S468" s="6">
        <v>0.2</v>
      </c>
      <c r="T468" s="6">
        <f t="shared" si="66"/>
        <v>0.2</v>
      </c>
      <c r="U468">
        <v>11462.11</v>
      </c>
      <c r="V468">
        <f t="shared" si="67"/>
        <v>11462.112000000001</v>
      </c>
      <c r="W468" s="6">
        <f t="shared" si="68"/>
        <v>2.0000000004074536E-3</v>
      </c>
      <c r="X468">
        <v>7105.48</v>
      </c>
      <c r="Y468">
        <v>4356.63</v>
      </c>
      <c r="Z468">
        <f t="shared" si="69"/>
        <v>4356.6320000000014</v>
      </c>
      <c r="AA468" s="6">
        <f t="shared" si="70"/>
        <v>2.0000000013169483E-3</v>
      </c>
      <c r="AB468">
        <f t="shared" si="71"/>
        <v>0.38008981241851425</v>
      </c>
      <c r="AC468" t="s">
        <v>32</v>
      </c>
      <c r="AD468" t="s">
        <v>33</v>
      </c>
      <c r="AE468" t="s">
        <v>2826</v>
      </c>
      <c r="AF468" s="10" t="s">
        <v>2790</v>
      </c>
    </row>
    <row r="469" spans="1:32">
      <c r="A469" t="s">
        <v>1499</v>
      </c>
      <c r="B469" s="3">
        <v>45524</v>
      </c>
      <c r="C469" t="str">
        <f t="shared" si="64"/>
        <v>August</v>
      </c>
      <c r="D469">
        <f t="shared" si="65"/>
        <v>2024</v>
      </c>
      <c r="E469" s="3">
        <v>45525</v>
      </c>
      <c r="F469">
        <f t="shared" si="63"/>
        <v>1</v>
      </c>
      <c r="G469" t="s">
        <v>1500</v>
      </c>
      <c r="H469" t="s">
        <v>89</v>
      </c>
      <c r="I469" t="s">
        <v>90</v>
      </c>
      <c r="J469" t="s">
        <v>38</v>
      </c>
      <c r="K469" t="s">
        <v>39</v>
      </c>
      <c r="L469" t="s">
        <v>40</v>
      </c>
      <c r="M469" t="s">
        <v>74</v>
      </c>
      <c r="N469" t="s">
        <v>80</v>
      </c>
      <c r="O469" t="s">
        <v>1501</v>
      </c>
      <c r="P469" t="s">
        <v>50</v>
      </c>
      <c r="Q469">
        <v>5</v>
      </c>
      <c r="R469">
        <v>4288.33</v>
      </c>
      <c r="S469" s="6">
        <v>0.1</v>
      </c>
      <c r="T469" s="6">
        <f t="shared" si="66"/>
        <v>0.1</v>
      </c>
      <c r="U469">
        <v>19297.490000000002</v>
      </c>
      <c r="V469">
        <f t="shared" si="67"/>
        <v>19297.485000000001</v>
      </c>
      <c r="W469" s="6">
        <f t="shared" si="68"/>
        <v>-5.0000000010186341E-3</v>
      </c>
      <c r="X469">
        <v>15451.66</v>
      </c>
      <c r="Y469">
        <v>3845.83</v>
      </c>
      <c r="Z469">
        <f t="shared" si="69"/>
        <v>3845.8250000000007</v>
      </c>
      <c r="AA469" s="6">
        <f t="shared" si="70"/>
        <v>-4.9999999991996447E-3</v>
      </c>
      <c r="AB469">
        <f t="shared" si="71"/>
        <v>0.1992915138941681</v>
      </c>
      <c r="AC469" t="s">
        <v>102</v>
      </c>
      <c r="AD469" t="s">
        <v>68</v>
      </c>
      <c r="AE469" t="s">
        <v>2827</v>
      </c>
      <c r="AF469" t="s">
        <v>2808</v>
      </c>
    </row>
    <row r="470" spans="1:32">
      <c r="A470" t="s">
        <v>1502</v>
      </c>
      <c r="B470" s="3">
        <v>45901</v>
      </c>
      <c r="C470" t="str">
        <f t="shared" si="64"/>
        <v>September</v>
      </c>
      <c r="D470">
        <f t="shared" si="65"/>
        <v>2025</v>
      </c>
      <c r="E470" s="3">
        <v>45839</v>
      </c>
      <c r="F470">
        <f t="shared" si="63"/>
        <v>-62</v>
      </c>
      <c r="G470" t="s">
        <v>1503</v>
      </c>
      <c r="H470" t="s">
        <v>128</v>
      </c>
      <c r="I470" t="s">
        <v>95</v>
      </c>
      <c r="J470" t="s">
        <v>38</v>
      </c>
      <c r="K470" t="s">
        <v>99</v>
      </c>
      <c r="L470" t="s">
        <v>100</v>
      </c>
      <c r="M470" t="s">
        <v>28</v>
      </c>
      <c r="N470" t="s">
        <v>153</v>
      </c>
      <c r="O470" t="s">
        <v>1504</v>
      </c>
      <c r="P470" t="s">
        <v>31</v>
      </c>
      <c r="Q470">
        <v>3</v>
      </c>
      <c r="R470">
        <v>2188.33</v>
      </c>
      <c r="S470" s="6">
        <v>0</v>
      </c>
      <c r="T470" s="6">
        <f t="shared" si="66"/>
        <v>0</v>
      </c>
      <c r="U470">
        <v>6564.99</v>
      </c>
      <c r="V470">
        <f t="shared" si="67"/>
        <v>6564.99</v>
      </c>
      <c r="W470" s="6">
        <f t="shared" si="68"/>
        <v>0</v>
      </c>
      <c r="X470">
        <v>5407.24</v>
      </c>
      <c r="Y470">
        <v>1157.75</v>
      </c>
      <c r="Z470">
        <f t="shared" si="69"/>
        <v>1157.75</v>
      </c>
      <c r="AA470" s="6">
        <f t="shared" si="70"/>
        <v>0</v>
      </c>
      <c r="AB470">
        <f t="shared" si="71"/>
        <v>0.17635213458055535</v>
      </c>
      <c r="AC470" t="s">
        <v>32</v>
      </c>
      <c r="AD470" t="s">
        <v>33</v>
      </c>
      <c r="AE470" t="s">
        <v>2826</v>
      </c>
      <c r="AF470" s="10" t="s">
        <v>2790</v>
      </c>
    </row>
    <row r="471" spans="1:32">
      <c r="A471" t="s">
        <v>1505</v>
      </c>
      <c r="B471" s="3">
        <v>45310</v>
      </c>
      <c r="C471" t="str">
        <f t="shared" si="64"/>
        <v>January</v>
      </c>
      <c r="D471">
        <f t="shared" si="65"/>
        <v>2024</v>
      </c>
      <c r="E471" s="3">
        <v>45316</v>
      </c>
      <c r="F471">
        <f t="shared" si="63"/>
        <v>6</v>
      </c>
      <c r="G471" t="s">
        <v>1506</v>
      </c>
      <c r="H471" t="s">
        <v>89</v>
      </c>
      <c r="I471" t="s">
        <v>90</v>
      </c>
      <c r="J471" t="s">
        <v>63</v>
      </c>
      <c r="K471" t="s">
        <v>190</v>
      </c>
      <c r="L471" t="s">
        <v>191</v>
      </c>
      <c r="M471" t="s">
        <v>74</v>
      </c>
      <c r="N471" t="s">
        <v>80</v>
      </c>
      <c r="O471" t="s">
        <v>1507</v>
      </c>
      <c r="P471" t="s">
        <v>50</v>
      </c>
      <c r="Q471">
        <v>3</v>
      </c>
      <c r="R471">
        <v>1041.6600000000001</v>
      </c>
      <c r="S471" s="6">
        <v>0.1</v>
      </c>
      <c r="T471" s="6">
        <f t="shared" si="66"/>
        <v>0.1</v>
      </c>
      <c r="U471">
        <v>2812.48</v>
      </c>
      <c r="V471">
        <f t="shared" si="67"/>
        <v>2812.4820000000004</v>
      </c>
      <c r="W471" s="6">
        <f t="shared" si="68"/>
        <v>2.0000000004074536E-3</v>
      </c>
      <c r="X471">
        <v>2282.12</v>
      </c>
      <c r="Y471">
        <v>530.36</v>
      </c>
      <c r="Z471">
        <f t="shared" si="69"/>
        <v>530.36200000000053</v>
      </c>
      <c r="AA471" s="6">
        <f t="shared" si="70"/>
        <v>2.0000000005211405E-3</v>
      </c>
      <c r="AB471">
        <f t="shared" si="71"/>
        <v>0.18857436243147527</v>
      </c>
      <c r="AC471" t="s">
        <v>32</v>
      </c>
      <c r="AD471" t="s">
        <v>33</v>
      </c>
      <c r="AE471" t="s">
        <v>2828</v>
      </c>
    </row>
    <row r="472" spans="1:32">
      <c r="A472" t="s">
        <v>1508</v>
      </c>
      <c r="B472" s="3">
        <v>45501</v>
      </c>
      <c r="C472" t="str">
        <f t="shared" si="64"/>
        <v>July</v>
      </c>
      <c r="D472">
        <f t="shared" si="65"/>
        <v>2024</v>
      </c>
      <c r="E472" s="3">
        <v>45504</v>
      </c>
      <c r="F472">
        <f t="shared" si="63"/>
        <v>3</v>
      </c>
      <c r="G472" t="s">
        <v>1509</v>
      </c>
      <c r="H472" t="s">
        <v>89</v>
      </c>
      <c r="I472" t="s">
        <v>24</v>
      </c>
      <c r="J472" t="s">
        <v>25</v>
      </c>
      <c r="K472" t="s">
        <v>26</v>
      </c>
      <c r="L472" t="s">
        <v>27</v>
      </c>
      <c r="M472" t="s">
        <v>41</v>
      </c>
      <c r="N472" t="s">
        <v>42</v>
      </c>
      <c r="O472" t="s">
        <v>1510</v>
      </c>
      <c r="P472" t="s">
        <v>44</v>
      </c>
      <c r="Q472">
        <v>2</v>
      </c>
      <c r="R472">
        <v>4424.78</v>
      </c>
      <c r="S472" s="6">
        <v>0.2</v>
      </c>
      <c r="T472" s="6">
        <f t="shared" si="66"/>
        <v>0.2</v>
      </c>
      <c r="U472">
        <v>7079.65</v>
      </c>
      <c r="V472">
        <f t="shared" si="67"/>
        <v>7079.6480000000001</v>
      </c>
      <c r="W472" s="6">
        <f t="shared" si="68"/>
        <v>-1.9999999994979589E-3</v>
      </c>
      <c r="X472">
        <v>4465.91</v>
      </c>
      <c r="Y472">
        <v>2613.7399999999998</v>
      </c>
      <c r="Z472">
        <f t="shared" si="69"/>
        <v>2613.7380000000003</v>
      </c>
      <c r="AA472" s="6">
        <f t="shared" si="70"/>
        <v>-1.9999999994979589E-3</v>
      </c>
      <c r="AB472">
        <f t="shared" si="71"/>
        <v>0.36919038912669105</v>
      </c>
      <c r="AC472" t="s">
        <v>32</v>
      </c>
      <c r="AD472" t="s">
        <v>33</v>
      </c>
      <c r="AE472" t="s">
        <v>2828</v>
      </c>
    </row>
    <row r="473" spans="1:32">
      <c r="A473" t="s">
        <v>1511</v>
      </c>
      <c r="B473" s="3">
        <v>45598</v>
      </c>
      <c r="C473" t="str">
        <f t="shared" si="64"/>
        <v>November</v>
      </c>
      <c r="D473">
        <f t="shared" si="65"/>
        <v>2024</v>
      </c>
      <c r="E473" s="3">
        <v>45337</v>
      </c>
      <c r="F473">
        <f t="shared" si="63"/>
        <v>-261</v>
      </c>
      <c r="G473" t="s">
        <v>1512</v>
      </c>
      <c r="H473" t="s">
        <v>264</v>
      </c>
      <c r="I473" t="s">
        <v>24</v>
      </c>
      <c r="J473" t="s">
        <v>54</v>
      </c>
      <c r="K473" t="s">
        <v>55</v>
      </c>
      <c r="L473" t="s">
        <v>56</v>
      </c>
      <c r="M473" t="s">
        <v>28</v>
      </c>
      <c r="N473" t="s">
        <v>153</v>
      </c>
      <c r="O473" t="s">
        <v>1513</v>
      </c>
      <c r="P473" t="s">
        <v>59</v>
      </c>
      <c r="Q473">
        <v>3</v>
      </c>
      <c r="R473">
        <v>3019.14</v>
      </c>
      <c r="S473" s="6">
        <v>0.25</v>
      </c>
      <c r="T473" s="6">
        <f t="shared" si="66"/>
        <v>0.25</v>
      </c>
      <c r="U473">
        <v>6793.07</v>
      </c>
      <c r="V473">
        <f t="shared" si="67"/>
        <v>6793.0650000000005</v>
      </c>
      <c r="W473" s="6">
        <f t="shared" si="68"/>
        <v>-4.9999999991996447E-3</v>
      </c>
      <c r="X473">
        <v>4985.22</v>
      </c>
      <c r="Y473">
        <v>1807.85</v>
      </c>
      <c r="Z473">
        <f t="shared" si="69"/>
        <v>1807.8450000000003</v>
      </c>
      <c r="AA473" s="6">
        <f t="shared" si="70"/>
        <v>-4.999999999654392E-3</v>
      </c>
      <c r="AB473">
        <f t="shared" si="71"/>
        <v>0.26613097327936652</v>
      </c>
      <c r="AC473" t="s">
        <v>32</v>
      </c>
      <c r="AD473" t="s">
        <v>33</v>
      </c>
      <c r="AE473" t="s">
        <v>2826</v>
      </c>
      <c r="AF473" s="10" t="s">
        <v>2790</v>
      </c>
    </row>
    <row r="474" spans="1:32">
      <c r="A474" t="s">
        <v>1514</v>
      </c>
      <c r="B474" s="3">
        <v>45325</v>
      </c>
      <c r="C474" t="str">
        <f t="shared" si="64"/>
        <v>February</v>
      </c>
      <c r="D474">
        <f t="shared" si="65"/>
        <v>2024</v>
      </c>
      <c r="E474" s="3">
        <v>45358</v>
      </c>
      <c r="F474">
        <f t="shared" si="63"/>
        <v>33</v>
      </c>
      <c r="G474" t="s">
        <v>1515</v>
      </c>
      <c r="H474" t="s">
        <v>141</v>
      </c>
      <c r="I474" t="s">
        <v>90</v>
      </c>
      <c r="J474" t="s">
        <v>38</v>
      </c>
      <c r="K474" t="s">
        <v>39</v>
      </c>
      <c r="L474" t="s">
        <v>40</v>
      </c>
      <c r="M474" t="s">
        <v>28</v>
      </c>
      <c r="N474" t="s">
        <v>124</v>
      </c>
      <c r="O474" t="s">
        <v>1516</v>
      </c>
      <c r="P474" t="s">
        <v>59</v>
      </c>
      <c r="Q474">
        <v>7</v>
      </c>
      <c r="R474">
        <v>263.45999999999998</v>
      </c>
      <c r="S474" s="6">
        <v>0</v>
      </c>
      <c r="T474" s="6">
        <f t="shared" si="66"/>
        <v>0</v>
      </c>
      <c r="U474">
        <v>1844.22</v>
      </c>
      <c r="V474">
        <f t="shared" si="67"/>
        <v>1844.2199999999998</v>
      </c>
      <c r="W474" s="6">
        <f t="shared" si="68"/>
        <v>0</v>
      </c>
      <c r="X474">
        <v>1094.21</v>
      </c>
      <c r="Y474">
        <v>750.01</v>
      </c>
      <c r="Z474">
        <f t="shared" si="69"/>
        <v>750.00999999999976</v>
      </c>
      <c r="AA474" s="6">
        <f t="shared" si="70"/>
        <v>0</v>
      </c>
      <c r="AB474">
        <f t="shared" si="71"/>
        <v>0.40668141544934977</v>
      </c>
      <c r="AC474" t="s">
        <v>32</v>
      </c>
      <c r="AD474" t="s">
        <v>33</v>
      </c>
      <c r="AE474" t="s">
        <v>2828</v>
      </c>
    </row>
    <row r="475" spans="1:32">
      <c r="A475" t="s">
        <v>1517</v>
      </c>
      <c r="B475" s="3">
        <v>45609</v>
      </c>
      <c r="C475" t="str">
        <f t="shared" si="64"/>
        <v>November</v>
      </c>
      <c r="D475">
        <f t="shared" si="65"/>
        <v>2024</v>
      </c>
      <c r="E475" s="3">
        <v>45609</v>
      </c>
      <c r="F475">
        <f t="shared" si="63"/>
        <v>0</v>
      </c>
      <c r="G475" t="s">
        <v>1518</v>
      </c>
      <c r="H475" t="s">
        <v>114</v>
      </c>
      <c r="I475" t="s">
        <v>24</v>
      </c>
      <c r="J475" t="s">
        <v>63</v>
      </c>
      <c r="K475" t="s">
        <v>190</v>
      </c>
      <c r="L475" t="s">
        <v>191</v>
      </c>
      <c r="M475" t="s">
        <v>74</v>
      </c>
      <c r="N475" t="s">
        <v>80</v>
      </c>
      <c r="O475" t="s">
        <v>1519</v>
      </c>
      <c r="P475" t="s">
        <v>59</v>
      </c>
      <c r="Q475">
        <v>6</v>
      </c>
      <c r="R475">
        <v>191.45</v>
      </c>
      <c r="S475" s="6">
        <v>0.2</v>
      </c>
      <c r="T475" s="6">
        <f t="shared" si="66"/>
        <v>0.2</v>
      </c>
      <c r="U475">
        <v>918.96</v>
      </c>
      <c r="V475">
        <f t="shared" si="67"/>
        <v>918.95999999999992</v>
      </c>
      <c r="W475" s="6">
        <f t="shared" si="68"/>
        <v>0</v>
      </c>
      <c r="X475">
        <v>554.17999999999995</v>
      </c>
      <c r="Y475">
        <v>364.78</v>
      </c>
      <c r="Z475">
        <f t="shared" si="69"/>
        <v>364.78</v>
      </c>
      <c r="AA475" s="6">
        <f t="shared" si="70"/>
        <v>0</v>
      </c>
      <c r="AB475">
        <f t="shared" si="71"/>
        <v>0.39694872464525116</v>
      </c>
      <c r="AC475" t="s">
        <v>32</v>
      </c>
      <c r="AD475" t="s">
        <v>33</v>
      </c>
      <c r="AE475" t="s">
        <v>2828</v>
      </c>
    </row>
    <row r="476" spans="1:32">
      <c r="A476" t="s">
        <v>1520</v>
      </c>
      <c r="B476" s="3">
        <v>45357</v>
      </c>
      <c r="C476" t="str">
        <f t="shared" si="64"/>
        <v>March</v>
      </c>
      <c r="D476">
        <f t="shared" si="65"/>
        <v>2024</v>
      </c>
      <c r="E476" s="3">
        <v>45571</v>
      </c>
      <c r="F476">
        <f t="shared" si="63"/>
        <v>214</v>
      </c>
      <c r="G476" t="s">
        <v>1521</v>
      </c>
      <c r="H476" t="s">
        <v>162</v>
      </c>
      <c r="I476" t="s">
        <v>90</v>
      </c>
      <c r="J476" t="s">
        <v>25</v>
      </c>
      <c r="K476" t="s">
        <v>122</v>
      </c>
      <c r="L476" t="s">
        <v>123</v>
      </c>
      <c r="M476" t="s">
        <v>41</v>
      </c>
      <c r="N476" t="s">
        <v>57</v>
      </c>
      <c r="O476" t="s">
        <v>1522</v>
      </c>
      <c r="P476" t="s">
        <v>59</v>
      </c>
      <c r="Q476">
        <v>3</v>
      </c>
      <c r="R476">
        <v>1633.57</v>
      </c>
      <c r="S476" s="6">
        <v>0</v>
      </c>
      <c r="T476" s="6">
        <f t="shared" si="66"/>
        <v>0</v>
      </c>
      <c r="U476">
        <v>4900.71</v>
      </c>
      <c r="V476">
        <f t="shared" si="67"/>
        <v>4900.71</v>
      </c>
      <c r="W476" s="6">
        <f t="shared" si="68"/>
        <v>0</v>
      </c>
      <c r="X476">
        <v>2713.9</v>
      </c>
      <c r="Y476">
        <v>2186.81</v>
      </c>
      <c r="Z476">
        <f t="shared" si="69"/>
        <v>2186.81</v>
      </c>
      <c r="AA476" s="6">
        <f t="shared" si="70"/>
        <v>0</v>
      </c>
      <c r="AB476">
        <f t="shared" si="71"/>
        <v>0.44622309828575857</v>
      </c>
      <c r="AC476" t="s">
        <v>32</v>
      </c>
      <c r="AD476" t="s">
        <v>33</v>
      </c>
      <c r="AE476" t="s">
        <v>2828</v>
      </c>
    </row>
    <row r="477" spans="1:32">
      <c r="A477" t="s">
        <v>1523</v>
      </c>
      <c r="B477" s="3">
        <v>45717</v>
      </c>
      <c r="C477" t="str">
        <f t="shared" si="64"/>
        <v>March</v>
      </c>
      <c r="D477">
        <f t="shared" si="65"/>
        <v>2025</v>
      </c>
      <c r="E477" s="3">
        <v>45872</v>
      </c>
      <c r="F477">
        <f t="shared" si="63"/>
        <v>155</v>
      </c>
      <c r="G477" t="s">
        <v>1524</v>
      </c>
      <c r="H477" t="s">
        <v>71</v>
      </c>
      <c r="I477" t="s">
        <v>24</v>
      </c>
      <c r="J477" t="s">
        <v>38</v>
      </c>
      <c r="K477" t="s">
        <v>99</v>
      </c>
      <c r="L477" t="s">
        <v>100</v>
      </c>
      <c r="M477" t="s">
        <v>41</v>
      </c>
      <c r="N477" t="s">
        <v>66</v>
      </c>
      <c r="O477" t="s">
        <v>1525</v>
      </c>
      <c r="P477" t="s">
        <v>44</v>
      </c>
      <c r="Q477">
        <v>8</v>
      </c>
      <c r="R477">
        <v>3378.82</v>
      </c>
      <c r="S477" s="6">
        <v>0.25</v>
      </c>
      <c r="T477" s="6">
        <f t="shared" si="66"/>
        <v>0.25</v>
      </c>
      <c r="U477">
        <v>20272.919999999998</v>
      </c>
      <c r="V477">
        <f t="shared" si="67"/>
        <v>20272.920000000002</v>
      </c>
      <c r="W477" s="6">
        <f t="shared" si="68"/>
        <v>0</v>
      </c>
      <c r="X477">
        <v>15873.38</v>
      </c>
      <c r="Y477">
        <v>4399.54</v>
      </c>
      <c r="Z477">
        <f t="shared" si="69"/>
        <v>4399.5400000000027</v>
      </c>
      <c r="AA477" s="6">
        <f t="shared" si="70"/>
        <v>0</v>
      </c>
      <c r="AB477">
        <f t="shared" si="71"/>
        <v>0.21701560505344086</v>
      </c>
      <c r="AC477" t="s">
        <v>111</v>
      </c>
      <c r="AD477" t="s">
        <v>103</v>
      </c>
      <c r="AE477" t="s">
        <v>2827</v>
      </c>
      <c r="AF477" t="s">
        <v>2814</v>
      </c>
    </row>
    <row r="478" spans="1:32">
      <c r="A478" t="s">
        <v>1526</v>
      </c>
      <c r="B478" s="3">
        <v>45419</v>
      </c>
      <c r="C478" t="str">
        <f t="shared" si="64"/>
        <v>May</v>
      </c>
      <c r="D478">
        <f t="shared" si="65"/>
        <v>2024</v>
      </c>
      <c r="E478" s="3">
        <v>45426</v>
      </c>
      <c r="F478">
        <f t="shared" si="63"/>
        <v>7</v>
      </c>
      <c r="G478" t="s">
        <v>1527</v>
      </c>
      <c r="H478" t="s">
        <v>132</v>
      </c>
      <c r="I478" t="s">
        <v>37</v>
      </c>
      <c r="J478" t="s">
        <v>25</v>
      </c>
      <c r="K478" t="s">
        <v>26</v>
      </c>
      <c r="L478" t="s">
        <v>27</v>
      </c>
      <c r="M478" t="s">
        <v>28</v>
      </c>
      <c r="N478" t="s">
        <v>124</v>
      </c>
      <c r="O478" t="s">
        <v>1528</v>
      </c>
      <c r="P478" t="s">
        <v>50</v>
      </c>
      <c r="Q478">
        <v>3</v>
      </c>
      <c r="R478">
        <v>383.58</v>
      </c>
      <c r="S478" s="6">
        <v>0.1</v>
      </c>
      <c r="T478" s="6">
        <f t="shared" si="66"/>
        <v>0.1</v>
      </c>
      <c r="U478">
        <v>1035.67</v>
      </c>
      <c r="V478">
        <f t="shared" si="67"/>
        <v>1035.6659999999999</v>
      </c>
      <c r="W478" s="6">
        <f t="shared" si="68"/>
        <v>-4.0000000001327862E-3</v>
      </c>
      <c r="X478">
        <v>595.41999999999996</v>
      </c>
      <c r="Y478">
        <v>440.25</v>
      </c>
      <c r="Z478">
        <f t="shared" si="69"/>
        <v>440.24599999999998</v>
      </c>
      <c r="AA478" s="6">
        <f t="shared" si="70"/>
        <v>-4.0000000000190994E-3</v>
      </c>
      <c r="AB478">
        <f t="shared" si="71"/>
        <v>0.42508492120046426</v>
      </c>
      <c r="AC478" t="s">
        <v>32</v>
      </c>
      <c r="AD478" t="s">
        <v>33</v>
      </c>
      <c r="AE478" t="s">
        <v>2828</v>
      </c>
    </row>
    <row r="479" spans="1:32">
      <c r="A479" t="s">
        <v>1529</v>
      </c>
      <c r="B479" s="3">
        <v>45892</v>
      </c>
      <c r="C479" t="str">
        <f t="shared" si="64"/>
        <v>August</v>
      </c>
      <c r="D479">
        <f t="shared" si="65"/>
        <v>2025</v>
      </c>
      <c r="E479" s="3">
        <v>45897</v>
      </c>
      <c r="F479">
        <f t="shared" si="63"/>
        <v>5</v>
      </c>
      <c r="G479" t="s">
        <v>1530</v>
      </c>
      <c r="H479" t="s">
        <v>71</v>
      </c>
      <c r="I479" t="s">
        <v>90</v>
      </c>
      <c r="J479" t="s">
        <v>63</v>
      </c>
      <c r="K479" t="s">
        <v>180</v>
      </c>
      <c r="L479" t="s">
        <v>181</v>
      </c>
      <c r="M479" t="s">
        <v>41</v>
      </c>
      <c r="N479" t="s">
        <v>66</v>
      </c>
      <c r="O479" t="s">
        <v>1531</v>
      </c>
      <c r="P479" t="s">
        <v>59</v>
      </c>
      <c r="Q479">
        <v>6</v>
      </c>
      <c r="R479">
        <v>2193.23</v>
      </c>
      <c r="S479" s="6">
        <v>0.1</v>
      </c>
      <c r="T479" s="6">
        <f t="shared" si="66"/>
        <v>0.1</v>
      </c>
      <c r="U479">
        <v>11843.44</v>
      </c>
      <c r="V479">
        <f t="shared" si="67"/>
        <v>11843.442000000001</v>
      </c>
      <c r="W479" s="6">
        <f t="shared" si="68"/>
        <v>2.0000000004074536E-3</v>
      </c>
      <c r="X479">
        <v>9356.8799999999992</v>
      </c>
      <c r="Y479">
        <v>2486.56</v>
      </c>
      <c r="Z479">
        <f t="shared" si="69"/>
        <v>2486.5620000000017</v>
      </c>
      <c r="AA479" s="6">
        <f t="shared" si="70"/>
        <v>2.0000000017716957E-3</v>
      </c>
      <c r="AB479">
        <f t="shared" si="71"/>
        <v>0.20995264721184953</v>
      </c>
      <c r="AC479" t="s">
        <v>32</v>
      </c>
      <c r="AD479" t="s">
        <v>68</v>
      </c>
      <c r="AE479" t="s">
        <v>2827</v>
      </c>
      <c r="AF479" t="s">
        <v>2795</v>
      </c>
    </row>
    <row r="480" spans="1:32">
      <c r="A480" t="s">
        <v>1532</v>
      </c>
      <c r="B480" s="3">
        <v>45452</v>
      </c>
      <c r="C480" t="str">
        <f t="shared" si="64"/>
        <v>June</v>
      </c>
      <c r="D480">
        <f t="shared" si="65"/>
        <v>2024</v>
      </c>
      <c r="E480" s="3">
        <v>45456</v>
      </c>
      <c r="F480">
        <f t="shared" si="63"/>
        <v>4</v>
      </c>
      <c r="G480" t="s">
        <v>1533</v>
      </c>
      <c r="H480" t="s">
        <v>36</v>
      </c>
      <c r="I480" t="s">
        <v>95</v>
      </c>
      <c r="J480" t="s">
        <v>2781</v>
      </c>
      <c r="K480" t="s">
        <v>136</v>
      </c>
      <c r="L480" t="s">
        <v>137</v>
      </c>
      <c r="M480" t="s">
        <v>74</v>
      </c>
      <c r="N480" t="s">
        <v>274</v>
      </c>
      <c r="O480" t="s">
        <v>1534</v>
      </c>
      <c r="P480" t="s">
        <v>44</v>
      </c>
      <c r="Q480">
        <v>7</v>
      </c>
      <c r="R480">
        <v>4079.71</v>
      </c>
      <c r="S480" s="6">
        <v>0.1</v>
      </c>
      <c r="T480" s="6">
        <f t="shared" si="66"/>
        <v>0.1</v>
      </c>
      <c r="U480">
        <v>25702.17</v>
      </c>
      <c r="V480">
        <f t="shared" si="67"/>
        <v>25702.173000000003</v>
      </c>
      <c r="W480" s="6">
        <f t="shared" si="68"/>
        <v>3.0000000042491592E-3</v>
      </c>
      <c r="X480">
        <v>14571.48</v>
      </c>
      <c r="Y480">
        <v>11130.69</v>
      </c>
      <c r="Z480">
        <f t="shared" si="69"/>
        <v>11130.693000000003</v>
      </c>
      <c r="AA480" s="6">
        <f t="shared" si="70"/>
        <v>3.0000000024301698E-3</v>
      </c>
      <c r="AB480">
        <f t="shared" si="71"/>
        <v>0.43306427826160854</v>
      </c>
      <c r="AC480" t="s">
        <v>102</v>
      </c>
      <c r="AD480" t="s">
        <v>103</v>
      </c>
      <c r="AE480" t="s">
        <v>2827</v>
      </c>
      <c r="AF480" t="s">
        <v>2807</v>
      </c>
    </row>
    <row r="481" spans="1:32">
      <c r="A481" t="s">
        <v>1535</v>
      </c>
      <c r="B481" s="3">
        <v>45345</v>
      </c>
      <c r="C481" t="str">
        <f t="shared" si="64"/>
        <v>February</v>
      </c>
      <c r="D481">
        <f t="shared" si="65"/>
        <v>2024</v>
      </c>
      <c r="E481" s="3">
        <v>45342</v>
      </c>
      <c r="F481">
        <f t="shared" si="63"/>
        <v>-3</v>
      </c>
      <c r="G481" t="s">
        <v>1536</v>
      </c>
      <c r="H481" t="s">
        <v>53</v>
      </c>
      <c r="I481" t="s">
        <v>90</v>
      </c>
      <c r="J481" t="s">
        <v>38</v>
      </c>
      <c r="K481" t="s">
        <v>39</v>
      </c>
      <c r="L481" t="s">
        <v>40</v>
      </c>
      <c r="M481" t="s">
        <v>41</v>
      </c>
      <c r="N481" t="s">
        <v>66</v>
      </c>
      <c r="O481" t="s">
        <v>1537</v>
      </c>
      <c r="P481" t="s">
        <v>31</v>
      </c>
      <c r="Q481">
        <v>1</v>
      </c>
      <c r="R481">
        <v>2202.5500000000002</v>
      </c>
      <c r="S481" s="6">
        <v>0</v>
      </c>
      <c r="T481" s="6">
        <f t="shared" si="66"/>
        <v>0</v>
      </c>
      <c r="U481">
        <v>1651.91</v>
      </c>
      <c r="V481">
        <f t="shared" si="67"/>
        <v>2202.5500000000002</v>
      </c>
      <c r="W481" s="6">
        <f t="shared" si="68"/>
        <v>550.6400000000001</v>
      </c>
      <c r="X481">
        <v>1034.57</v>
      </c>
      <c r="Y481">
        <v>617.34</v>
      </c>
      <c r="Z481">
        <f t="shared" si="69"/>
        <v>1167.9800000000002</v>
      </c>
      <c r="AA481" s="6">
        <f t="shared" si="70"/>
        <v>550.64000000000021</v>
      </c>
      <c r="AB481">
        <f t="shared" si="71"/>
        <v>0.53028535107035035</v>
      </c>
      <c r="AC481" t="s">
        <v>32</v>
      </c>
      <c r="AD481" t="s">
        <v>33</v>
      </c>
      <c r="AE481" t="s">
        <v>2826</v>
      </c>
      <c r="AF481" s="10" t="s">
        <v>2790</v>
      </c>
    </row>
    <row r="482" spans="1:32">
      <c r="A482" t="s">
        <v>1538</v>
      </c>
      <c r="B482" s="3">
        <v>45778</v>
      </c>
      <c r="C482" t="str">
        <f t="shared" si="64"/>
        <v>May</v>
      </c>
      <c r="D482">
        <f t="shared" si="65"/>
        <v>2025</v>
      </c>
      <c r="E482" s="3">
        <v>45901</v>
      </c>
      <c r="F482">
        <f t="shared" si="63"/>
        <v>123</v>
      </c>
      <c r="G482" t="s">
        <v>1539</v>
      </c>
      <c r="H482" t="s">
        <v>79</v>
      </c>
      <c r="I482" t="s">
        <v>37</v>
      </c>
      <c r="J482" t="s">
        <v>54</v>
      </c>
      <c r="K482" t="s">
        <v>247</v>
      </c>
      <c r="L482" t="s">
        <v>248</v>
      </c>
      <c r="M482" t="s">
        <v>28</v>
      </c>
      <c r="N482" t="s">
        <v>124</v>
      </c>
      <c r="O482" t="s">
        <v>1540</v>
      </c>
      <c r="P482" t="s">
        <v>2781</v>
      </c>
      <c r="Q482">
        <v>5</v>
      </c>
      <c r="R482">
        <v>905.16</v>
      </c>
      <c r="S482" s="6">
        <v>0</v>
      </c>
      <c r="T482" s="6">
        <f t="shared" si="66"/>
        <v>0</v>
      </c>
      <c r="U482">
        <v>4525.8</v>
      </c>
      <c r="V482">
        <f t="shared" si="67"/>
        <v>4525.8</v>
      </c>
      <c r="W482" s="6">
        <f t="shared" si="68"/>
        <v>0</v>
      </c>
      <c r="X482">
        <v>2714.51</v>
      </c>
      <c r="Y482">
        <v>1811.29</v>
      </c>
      <c r="Z482">
        <f t="shared" si="69"/>
        <v>1811.29</v>
      </c>
      <c r="AA482" s="6">
        <f t="shared" si="70"/>
        <v>0</v>
      </c>
      <c r="AB482">
        <f t="shared" si="71"/>
        <v>0.40021432674886204</v>
      </c>
      <c r="AC482" t="s">
        <v>32</v>
      </c>
      <c r="AD482" t="s">
        <v>33</v>
      </c>
      <c r="AE482" t="s">
        <v>2827</v>
      </c>
      <c r="AF482" t="s">
        <v>2829</v>
      </c>
    </row>
    <row r="483" spans="1:32">
      <c r="A483" t="s">
        <v>1541</v>
      </c>
      <c r="B483" s="3">
        <v>45783</v>
      </c>
      <c r="C483" t="str">
        <f t="shared" si="64"/>
        <v>May</v>
      </c>
      <c r="D483">
        <f t="shared" si="65"/>
        <v>2025</v>
      </c>
      <c r="E483" s="3">
        <v>45821</v>
      </c>
      <c r="F483">
        <f t="shared" si="63"/>
        <v>38</v>
      </c>
      <c r="G483" t="s">
        <v>1542</v>
      </c>
      <c r="H483" t="s">
        <v>47</v>
      </c>
      <c r="I483" t="s">
        <v>24</v>
      </c>
      <c r="J483" t="s">
        <v>25</v>
      </c>
      <c r="K483" t="s">
        <v>136</v>
      </c>
      <c r="L483" t="s">
        <v>137</v>
      </c>
      <c r="M483" t="s">
        <v>74</v>
      </c>
      <c r="N483" t="s">
        <v>274</v>
      </c>
      <c r="O483" t="s">
        <v>1543</v>
      </c>
      <c r="P483" t="s">
        <v>44</v>
      </c>
      <c r="Q483">
        <v>4</v>
      </c>
      <c r="R483">
        <v>2793.88</v>
      </c>
      <c r="S483" s="6">
        <v>0.85</v>
      </c>
      <c r="T483" s="6">
        <f t="shared" si="66"/>
        <v>0.85</v>
      </c>
      <c r="U483">
        <v>10616.74</v>
      </c>
      <c r="V483">
        <f t="shared" si="67"/>
        <v>1676.3280000000002</v>
      </c>
      <c r="W483" s="6">
        <f t="shared" si="68"/>
        <v>-8940.4120000000003</v>
      </c>
      <c r="X483">
        <v>6353.59</v>
      </c>
      <c r="Y483">
        <v>4263.1499999999996</v>
      </c>
      <c r="Z483">
        <f t="shared" si="69"/>
        <v>-4677.2619999999997</v>
      </c>
      <c r="AA483" s="6">
        <f t="shared" si="70"/>
        <v>-8940.4120000000003</v>
      </c>
      <c r="AB483">
        <f t="shared" si="71"/>
        <v>-2.7901830667983827</v>
      </c>
      <c r="AC483" t="s">
        <v>32</v>
      </c>
      <c r="AD483" t="s">
        <v>33</v>
      </c>
      <c r="AE483" t="s">
        <v>2826</v>
      </c>
      <c r="AF483" s="10" t="s">
        <v>2791</v>
      </c>
    </row>
    <row r="484" spans="1:32">
      <c r="A484" t="s">
        <v>1544</v>
      </c>
      <c r="B484" s="3">
        <v>45495</v>
      </c>
      <c r="C484" t="str">
        <f t="shared" si="64"/>
        <v>July</v>
      </c>
      <c r="D484">
        <f t="shared" si="65"/>
        <v>2024</v>
      </c>
      <c r="E484" s="3">
        <v>45495</v>
      </c>
      <c r="F484">
        <f t="shared" si="63"/>
        <v>0</v>
      </c>
      <c r="G484" t="s">
        <v>1545</v>
      </c>
      <c r="H484" t="s">
        <v>114</v>
      </c>
      <c r="I484" t="s">
        <v>24</v>
      </c>
      <c r="J484" t="s">
        <v>54</v>
      </c>
      <c r="K484" t="s">
        <v>175</v>
      </c>
      <c r="L484" t="s">
        <v>176</v>
      </c>
      <c r="M484" t="s">
        <v>74</v>
      </c>
      <c r="N484" t="s">
        <v>75</v>
      </c>
      <c r="O484" t="s">
        <v>1546</v>
      </c>
      <c r="P484" t="s">
        <v>31</v>
      </c>
      <c r="Q484">
        <v>3</v>
      </c>
      <c r="R484">
        <v>1286.22</v>
      </c>
      <c r="S484" s="6">
        <v>0.25</v>
      </c>
      <c r="T484" s="6">
        <f t="shared" si="66"/>
        <v>0.25</v>
      </c>
      <c r="U484">
        <v>2893.99</v>
      </c>
      <c r="V484">
        <f t="shared" si="67"/>
        <v>2893.9949999999999</v>
      </c>
      <c r="W484" s="6">
        <f t="shared" si="68"/>
        <v>5.0000000001091394E-3</v>
      </c>
      <c r="X484">
        <v>1856.03</v>
      </c>
      <c r="Y484">
        <v>1037.96</v>
      </c>
      <c r="Z484">
        <f t="shared" si="69"/>
        <v>1037.9649999999999</v>
      </c>
      <c r="AA484" s="6">
        <f t="shared" si="70"/>
        <v>4.9999999998817657E-3</v>
      </c>
      <c r="AB484">
        <f t="shared" si="71"/>
        <v>0.35866164247001114</v>
      </c>
      <c r="AC484" t="s">
        <v>32</v>
      </c>
      <c r="AD484" t="s">
        <v>33</v>
      </c>
      <c r="AE484" t="s">
        <v>2828</v>
      </c>
    </row>
    <row r="485" spans="1:32">
      <c r="A485" t="s">
        <v>1547</v>
      </c>
      <c r="B485" s="3">
        <v>45651</v>
      </c>
      <c r="C485" t="str">
        <f t="shared" si="64"/>
        <v>December</v>
      </c>
      <c r="D485">
        <f t="shared" si="65"/>
        <v>2024</v>
      </c>
      <c r="E485" s="3">
        <v>45651</v>
      </c>
      <c r="F485">
        <f t="shared" si="63"/>
        <v>0</v>
      </c>
      <c r="G485" t="s">
        <v>1548</v>
      </c>
      <c r="H485" t="s">
        <v>36</v>
      </c>
      <c r="I485" t="s">
        <v>90</v>
      </c>
      <c r="J485" t="s">
        <v>38</v>
      </c>
      <c r="K485" t="s">
        <v>145</v>
      </c>
      <c r="L485" t="s">
        <v>146</v>
      </c>
      <c r="M485" t="s">
        <v>74</v>
      </c>
      <c r="N485" t="s">
        <v>80</v>
      </c>
      <c r="O485" t="s">
        <v>1549</v>
      </c>
      <c r="P485" t="s">
        <v>59</v>
      </c>
      <c r="Q485">
        <v>1</v>
      </c>
      <c r="R485">
        <v>829.66</v>
      </c>
      <c r="S485" s="6">
        <v>0.15</v>
      </c>
      <c r="T485" s="6">
        <f t="shared" si="66"/>
        <v>0.15</v>
      </c>
      <c r="U485">
        <v>705.21</v>
      </c>
      <c r="V485">
        <f t="shared" si="67"/>
        <v>705.2109999999999</v>
      </c>
      <c r="W485" s="6">
        <f t="shared" si="68"/>
        <v>9.999999998626663E-4</v>
      </c>
      <c r="X485">
        <v>438.32</v>
      </c>
      <c r="Y485">
        <v>266.89</v>
      </c>
      <c r="Z485">
        <f t="shared" si="69"/>
        <v>266.89099999999991</v>
      </c>
      <c r="AA485" s="6">
        <f t="shared" si="70"/>
        <v>9.9999999991950972E-4</v>
      </c>
      <c r="AB485">
        <f t="shared" si="71"/>
        <v>0.37845552607659261</v>
      </c>
      <c r="AC485" t="s">
        <v>32</v>
      </c>
      <c r="AD485" t="s">
        <v>33</v>
      </c>
      <c r="AE485" t="s">
        <v>2828</v>
      </c>
    </row>
    <row r="486" spans="1:32">
      <c r="A486" t="s">
        <v>1550</v>
      </c>
      <c r="B486" s="3">
        <v>45654</v>
      </c>
      <c r="C486" t="str">
        <f t="shared" si="64"/>
        <v>December</v>
      </c>
      <c r="D486">
        <f t="shared" si="65"/>
        <v>2024</v>
      </c>
      <c r="E486" s="3">
        <v>45657</v>
      </c>
      <c r="F486">
        <f t="shared" si="63"/>
        <v>3</v>
      </c>
      <c r="G486" t="s">
        <v>1551</v>
      </c>
      <c r="H486" t="s">
        <v>36</v>
      </c>
      <c r="I486" t="s">
        <v>37</v>
      </c>
      <c r="J486" t="s">
        <v>54</v>
      </c>
      <c r="K486" t="s">
        <v>84</v>
      </c>
      <c r="L486" t="s">
        <v>85</v>
      </c>
      <c r="M486" t="s">
        <v>41</v>
      </c>
      <c r="N486" t="s">
        <v>57</v>
      </c>
      <c r="O486" t="s">
        <v>1552</v>
      </c>
      <c r="P486" t="s">
        <v>50</v>
      </c>
      <c r="Q486">
        <v>6</v>
      </c>
      <c r="R486">
        <v>3641.22</v>
      </c>
      <c r="S486" s="6">
        <v>0.25</v>
      </c>
      <c r="T486" s="6">
        <f t="shared" si="66"/>
        <v>0.25</v>
      </c>
      <c r="U486">
        <v>16385.490000000002</v>
      </c>
      <c r="V486">
        <f t="shared" si="67"/>
        <v>16385.489999999998</v>
      </c>
      <c r="W486" s="6">
        <f t="shared" si="68"/>
        <v>0</v>
      </c>
      <c r="X486">
        <v>13679.24</v>
      </c>
      <c r="Y486">
        <v>2706.25</v>
      </c>
      <c r="Z486">
        <f t="shared" si="69"/>
        <v>2706.2499999999982</v>
      </c>
      <c r="AA486" s="6">
        <f t="shared" si="70"/>
        <v>0</v>
      </c>
      <c r="AB486">
        <f t="shared" si="71"/>
        <v>0.16516137143289572</v>
      </c>
      <c r="AC486" t="s">
        <v>32</v>
      </c>
      <c r="AD486" t="s">
        <v>33</v>
      </c>
      <c r="AE486" t="s">
        <v>2828</v>
      </c>
    </row>
    <row r="487" spans="1:32">
      <c r="A487" t="s">
        <v>1553</v>
      </c>
      <c r="B487" s="3">
        <v>45679</v>
      </c>
      <c r="C487" t="str">
        <f t="shared" si="64"/>
        <v>January</v>
      </c>
      <c r="D487">
        <f t="shared" si="65"/>
        <v>2025</v>
      </c>
      <c r="E487" s="3">
        <v>45680</v>
      </c>
      <c r="F487">
        <f t="shared" si="63"/>
        <v>1</v>
      </c>
      <c r="G487" t="s">
        <v>1554</v>
      </c>
      <c r="H487" t="s">
        <v>118</v>
      </c>
      <c r="I487" t="s">
        <v>90</v>
      </c>
      <c r="J487" t="s">
        <v>63</v>
      </c>
      <c r="K487" t="s">
        <v>190</v>
      </c>
      <c r="L487" t="s">
        <v>191</v>
      </c>
      <c r="M487" t="s">
        <v>41</v>
      </c>
      <c r="N487" t="s">
        <v>158</v>
      </c>
      <c r="O487" t="s">
        <v>1555</v>
      </c>
      <c r="P487" t="s">
        <v>59</v>
      </c>
      <c r="Q487">
        <v>4</v>
      </c>
      <c r="R487">
        <v>2555.19</v>
      </c>
      <c r="S487" s="6">
        <v>0.25</v>
      </c>
      <c r="T487" s="6">
        <f t="shared" si="66"/>
        <v>0.25</v>
      </c>
      <c r="U487">
        <v>7665.57</v>
      </c>
      <c r="V487">
        <f t="shared" si="67"/>
        <v>7665.57</v>
      </c>
      <c r="W487" s="6">
        <f t="shared" si="68"/>
        <v>0</v>
      </c>
      <c r="X487">
        <v>5595.6</v>
      </c>
      <c r="Y487">
        <v>2069.9699999999998</v>
      </c>
      <c r="Z487">
        <f t="shared" si="69"/>
        <v>2069.9699999999993</v>
      </c>
      <c r="AA487" s="6">
        <f t="shared" si="70"/>
        <v>0</v>
      </c>
      <c r="AB487">
        <f t="shared" si="71"/>
        <v>0.27003471366121495</v>
      </c>
      <c r="AC487" t="s">
        <v>32</v>
      </c>
      <c r="AD487" t="s">
        <v>33</v>
      </c>
      <c r="AE487" t="s">
        <v>2828</v>
      </c>
    </row>
    <row r="488" spans="1:32">
      <c r="A488" t="s">
        <v>1556</v>
      </c>
      <c r="B488" s="3">
        <v>45830</v>
      </c>
      <c r="C488" t="str">
        <f t="shared" si="64"/>
        <v>June</v>
      </c>
      <c r="D488">
        <f t="shared" si="65"/>
        <v>2025</v>
      </c>
      <c r="E488" s="3">
        <v>45834</v>
      </c>
      <c r="F488">
        <f t="shared" si="63"/>
        <v>4</v>
      </c>
      <c r="G488" t="s">
        <v>1557</v>
      </c>
      <c r="H488" t="s">
        <v>118</v>
      </c>
      <c r="I488" t="s">
        <v>90</v>
      </c>
      <c r="J488" t="s">
        <v>63</v>
      </c>
      <c r="K488" t="s">
        <v>190</v>
      </c>
      <c r="L488" t="s">
        <v>191</v>
      </c>
      <c r="M488" t="s">
        <v>41</v>
      </c>
      <c r="N488" t="s">
        <v>42</v>
      </c>
      <c r="O488" t="s">
        <v>1558</v>
      </c>
      <c r="P488" t="s">
        <v>59</v>
      </c>
      <c r="Q488">
        <v>3</v>
      </c>
      <c r="R488">
        <v>1946.18</v>
      </c>
      <c r="S488" s="6">
        <v>0.2</v>
      </c>
      <c r="T488" s="6">
        <f t="shared" si="66"/>
        <v>0.2</v>
      </c>
      <c r="U488">
        <v>4670.83</v>
      </c>
      <c r="V488">
        <f t="shared" si="67"/>
        <v>4670.8320000000003</v>
      </c>
      <c r="W488" s="6">
        <f t="shared" si="68"/>
        <v>2.0000000004074536E-3</v>
      </c>
      <c r="X488">
        <v>3166.49</v>
      </c>
      <c r="Y488">
        <v>1504.34</v>
      </c>
      <c r="Z488">
        <f t="shared" si="69"/>
        <v>1504.3420000000006</v>
      </c>
      <c r="AA488" s="6">
        <f t="shared" si="70"/>
        <v>2.0000000006348273E-3</v>
      </c>
      <c r="AB488">
        <f t="shared" si="71"/>
        <v>0.3220715281560117</v>
      </c>
      <c r="AC488" t="s">
        <v>32</v>
      </c>
      <c r="AD488" t="s">
        <v>33</v>
      </c>
      <c r="AE488" t="s">
        <v>2828</v>
      </c>
    </row>
    <row r="489" spans="1:32">
      <c r="A489" t="s">
        <v>1559</v>
      </c>
      <c r="B489" s="3">
        <v>45936</v>
      </c>
      <c r="C489" t="str">
        <f t="shared" si="64"/>
        <v>October</v>
      </c>
      <c r="D489">
        <f t="shared" si="65"/>
        <v>2025</v>
      </c>
      <c r="E489" s="3">
        <v>45825</v>
      </c>
      <c r="F489">
        <f t="shared" si="63"/>
        <v>-111</v>
      </c>
      <c r="G489" t="s">
        <v>1560</v>
      </c>
      <c r="H489" t="s">
        <v>118</v>
      </c>
      <c r="I489" t="s">
        <v>90</v>
      </c>
      <c r="J489" t="s">
        <v>54</v>
      </c>
      <c r="K489" t="s">
        <v>55</v>
      </c>
      <c r="L489" t="s">
        <v>56</v>
      </c>
      <c r="M489" t="s">
        <v>41</v>
      </c>
      <c r="N489" t="s">
        <v>57</v>
      </c>
      <c r="O489" t="s">
        <v>1561</v>
      </c>
      <c r="P489" t="s">
        <v>59</v>
      </c>
      <c r="Q489">
        <v>5</v>
      </c>
      <c r="R489">
        <v>1231.0999999999999</v>
      </c>
      <c r="S489" s="6">
        <v>0</v>
      </c>
      <c r="T489" s="6">
        <f t="shared" si="66"/>
        <v>0</v>
      </c>
      <c r="U489">
        <v>6155.5</v>
      </c>
      <c r="V489">
        <f t="shared" si="67"/>
        <v>6155.5</v>
      </c>
      <c r="W489" s="6">
        <f t="shared" si="68"/>
        <v>0</v>
      </c>
      <c r="X489">
        <v>4282.09</v>
      </c>
      <c r="Y489">
        <v>1873.41</v>
      </c>
      <c r="Z489">
        <f t="shared" si="69"/>
        <v>1873.4099999999999</v>
      </c>
      <c r="AA489" s="6">
        <f t="shared" si="70"/>
        <v>0</v>
      </c>
      <c r="AB489">
        <f t="shared" si="71"/>
        <v>0.3043473316546178</v>
      </c>
      <c r="AC489" t="s">
        <v>102</v>
      </c>
      <c r="AD489" t="s">
        <v>103</v>
      </c>
      <c r="AE489" t="s">
        <v>2826</v>
      </c>
      <c r="AF489" s="10" t="s">
        <v>2812</v>
      </c>
    </row>
    <row r="490" spans="1:32">
      <c r="A490" t="s">
        <v>1562</v>
      </c>
      <c r="B490" s="3">
        <v>45579</v>
      </c>
      <c r="C490" t="str">
        <f t="shared" si="64"/>
        <v>October</v>
      </c>
      <c r="D490">
        <f t="shared" si="65"/>
        <v>2024</v>
      </c>
      <c r="E490" s="3">
        <v>45585</v>
      </c>
      <c r="F490">
        <f t="shared" si="63"/>
        <v>6</v>
      </c>
      <c r="G490" t="s">
        <v>1563</v>
      </c>
      <c r="H490" t="s">
        <v>89</v>
      </c>
      <c r="I490" t="s">
        <v>37</v>
      </c>
      <c r="J490" t="s">
        <v>25</v>
      </c>
      <c r="K490" t="s">
        <v>26</v>
      </c>
      <c r="L490" t="s">
        <v>27</v>
      </c>
      <c r="M490" t="s">
        <v>41</v>
      </c>
      <c r="N490" t="s">
        <v>42</v>
      </c>
      <c r="O490" t="s">
        <v>1564</v>
      </c>
      <c r="P490" t="s">
        <v>44</v>
      </c>
      <c r="Q490">
        <v>7</v>
      </c>
      <c r="R490">
        <v>1547.6</v>
      </c>
      <c r="S490" s="6">
        <v>0.2</v>
      </c>
      <c r="T490" s="6">
        <f t="shared" si="66"/>
        <v>0.2</v>
      </c>
      <c r="U490">
        <v>8666.56</v>
      </c>
      <c r="V490">
        <f t="shared" si="67"/>
        <v>8666.56</v>
      </c>
      <c r="W490" s="6">
        <f t="shared" si="68"/>
        <v>0</v>
      </c>
      <c r="X490">
        <v>5967.44</v>
      </c>
      <c r="Y490">
        <v>2699.12</v>
      </c>
      <c r="Z490">
        <f t="shared" si="69"/>
        <v>2699.12</v>
      </c>
      <c r="AA490" s="6">
        <f t="shared" si="70"/>
        <v>0</v>
      </c>
      <c r="AB490">
        <f t="shared" si="71"/>
        <v>0.31144075619392242</v>
      </c>
      <c r="AC490" t="s">
        <v>32</v>
      </c>
      <c r="AD490" t="s">
        <v>33</v>
      </c>
      <c r="AE490" t="s">
        <v>2828</v>
      </c>
    </row>
    <row r="491" spans="1:32">
      <c r="A491" t="s">
        <v>1565</v>
      </c>
      <c r="B491" s="3">
        <v>45475</v>
      </c>
      <c r="C491" t="str">
        <f t="shared" si="64"/>
        <v>July</v>
      </c>
      <c r="D491">
        <f t="shared" si="65"/>
        <v>2024</v>
      </c>
      <c r="E491" s="3">
        <v>45628</v>
      </c>
      <c r="F491">
        <f t="shared" si="63"/>
        <v>153</v>
      </c>
      <c r="G491" t="s">
        <v>1566</v>
      </c>
      <c r="H491" t="s">
        <v>53</v>
      </c>
      <c r="I491" t="s">
        <v>95</v>
      </c>
      <c r="J491" t="s">
        <v>38</v>
      </c>
      <c r="K491" t="s">
        <v>99</v>
      </c>
      <c r="L491" t="s">
        <v>100</v>
      </c>
      <c r="M491" t="s">
        <v>74</v>
      </c>
      <c r="N491" t="s">
        <v>75</v>
      </c>
      <c r="O491" t="s">
        <v>1567</v>
      </c>
      <c r="P491" t="s">
        <v>31</v>
      </c>
      <c r="Q491">
        <v>1</v>
      </c>
      <c r="R491">
        <v>452.19</v>
      </c>
      <c r="S491" s="6">
        <v>0.2</v>
      </c>
      <c r="T491" s="6">
        <f t="shared" si="66"/>
        <v>0.2</v>
      </c>
      <c r="U491">
        <v>361.75</v>
      </c>
      <c r="V491">
        <f t="shared" si="67"/>
        <v>361.75200000000001</v>
      </c>
      <c r="W491" s="6">
        <f t="shared" si="68"/>
        <v>2.0000000000095497E-3</v>
      </c>
      <c r="X491">
        <v>262.52999999999997</v>
      </c>
      <c r="Y491">
        <v>99.22</v>
      </c>
      <c r="Z491">
        <f t="shared" si="69"/>
        <v>99.222000000000037</v>
      </c>
      <c r="AA491" s="6">
        <f t="shared" si="70"/>
        <v>2.0000000000379714E-3</v>
      </c>
      <c r="AB491">
        <f t="shared" si="71"/>
        <v>0.27428182843495003</v>
      </c>
      <c r="AC491" t="s">
        <v>32</v>
      </c>
      <c r="AD491" t="s">
        <v>33</v>
      </c>
      <c r="AE491" t="s">
        <v>2828</v>
      </c>
    </row>
    <row r="492" spans="1:32">
      <c r="A492" t="s">
        <v>1568</v>
      </c>
      <c r="B492" s="3">
        <v>45551</v>
      </c>
      <c r="C492" t="str">
        <f t="shared" si="64"/>
        <v>September</v>
      </c>
      <c r="D492">
        <f t="shared" si="65"/>
        <v>2024</v>
      </c>
      <c r="E492" s="3">
        <v>45554</v>
      </c>
      <c r="F492">
        <f t="shared" si="63"/>
        <v>3</v>
      </c>
      <c r="G492" t="s">
        <v>1569</v>
      </c>
      <c r="H492" t="s">
        <v>89</v>
      </c>
      <c r="I492" t="s">
        <v>24</v>
      </c>
      <c r="J492" t="s">
        <v>63</v>
      </c>
      <c r="K492" t="s">
        <v>26</v>
      </c>
      <c r="L492" t="s">
        <v>109</v>
      </c>
      <c r="M492" t="s">
        <v>28</v>
      </c>
      <c r="N492" t="s">
        <v>153</v>
      </c>
      <c r="O492" t="s">
        <v>1570</v>
      </c>
      <c r="P492" t="s">
        <v>50</v>
      </c>
      <c r="Q492">
        <v>7</v>
      </c>
      <c r="R492">
        <v>406.42</v>
      </c>
      <c r="S492" s="6">
        <v>0.15</v>
      </c>
      <c r="T492" s="6">
        <f t="shared" si="66"/>
        <v>0.15</v>
      </c>
      <c r="U492">
        <v>2418.1999999999998</v>
      </c>
      <c r="V492">
        <f t="shared" si="67"/>
        <v>2418.1990000000001</v>
      </c>
      <c r="W492" s="6">
        <f t="shared" si="68"/>
        <v>-9.9999999974897946E-4</v>
      </c>
      <c r="X492">
        <v>1613.82</v>
      </c>
      <c r="Y492">
        <v>804.38</v>
      </c>
      <c r="Z492">
        <f t="shared" si="69"/>
        <v>804.37900000000013</v>
      </c>
      <c r="AA492" s="6">
        <f t="shared" si="70"/>
        <v>-9.999999998626663E-4</v>
      </c>
      <c r="AB492">
        <f t="shared" si="71"/>
        <v>0.33263556886757462</v>
      </c>
      <c r="AC492" t="s">
        <v>32</v>
      </c>
      <c r="AD492" t="s">
        <v>33</v>
      </c>
      <c r="AE492" t="s">
        <v>2828</v>
      </c>
    </row>
    <row r="493" spans="1:32">
      <c r="A493" t="s">
        <v>1571</v>
      </c>
      <c r="B493" s="3">
        <v>45776</v>
      </c>
      <c r="C493" t="str">
        <f t="shared" si="64"/>
        <v>April</v>
      </c>
      <c r="D493">
        <f t="shared" si="65"/>
        <v>2025</v>
      </c>
      <c r="E493" s="3">
        <v>45777</v>
      </c>
      <c r="F493">
        <f t="shared" si="63"/>
        <v>1</v>
      </c>
      <c r="G493" t="s">
        <v>1572</v>
      </c>
      <c r="H493" t="s">
        <v>36</v>
      </c>
      <c r="I493" t="s">
        <v>90</v>
      </c>
      <c r="J493" t="s">
        <v>54</v>
      </c>
      <c r="K493" t="s">
        <v>185</v>
      </c>
      <c r="L493" t="s">
        <v>186</v>
      </c>
      <c r="M493" t="s">
        <v>74</v>
      </c>
      <c r="N493" t="s">
        <v>75</v>
      </c>
      <c r="O493" t="s">
        <v>1573</v>
      </c>
      <c r="P493" t="s">
        <v>59</v>
      </c>
      <c r="Q493">
        <v>4</v>
      </c>
      <c r="R493">
        <v>606.58000000000004</v>
      </c>
      <c r="S493" s="6">
        <v>0.2</v>
      </c>
      <c r="T493" s="6">
        <f t="shared" si="66"/>
        <v>0.2</v>
      </c>
      <c r="U493">
        <v>1941.06</v>
      </c>
      <c r="V493">
        <f t="shared" si="67"/>
        <v>1941.0560000000003</v>
      </c>
      <c r="W493" s="6">
        <f t="shared" si="68"/>
        <v>-3.9999999996780389E-3</v>
      </c>
      <c r="X493">
        <v>1207.42</v>
      </c>
      <c r="Y493">
        <v>733.64</v>
      </c>
      <c r="Z493">
        <f t="shared" si="69"/>
        <v>733.63600000000019</v>
      </c>
      <c r="AA493" s="6">
        <f t="shared" si="70"/>
        <v>-3.9999999997917257E-3</v>
      </c>
      <c r="AB493">
        <f t="shared" si="71"/>
        <v>0.37795715321969076</v>
      </c>
      <c r="AC493" t="s">
        <v>32</v>
      </c>
      <c r="AD493" t="s">
        <v>33</v>
      </c>
      <c r="AE493" t="s">
        <v>2828</v>
      </c>
    </row>
    <row r="494" spans="1:32">
      <c r="A494" t="s">
        <v>1574</v>
      </c>
      <c r="B494" s="3">
        <v>45836</v>
      </c>
      <c r="C494" t="str">
        <f t="shared" si="64"/>
        <v>June</v>
      </c>
      <c r="D494">
        <f t="shared" si="65"/>
        <v>2025</v>
      </c>
      <c r="E494" s="3">
        <v>45840</v>
      </c>
      <c r="F494">
        <f t="shared" si="63"/>
        <v>4</v>
      </c>
      <c r="G494" t="s">
        <v>1575</v>
      </c>
      <c r="H494" t="s">
        <v>62</v>
      </c>
      <c r="I494" t="s">
        <v>90</v>
      </c>
      <c r="J494" t="s">
        <v>54</v>
      </c>
      <c r="K494" t="s">
        <v>84</v>
      </c>
      <c r="L494" t="s">
        <v>85</v>
      </c>
      <c r="M494" t="s">
        <v>28</v>
      </c>
      <c r="N494" t="s">
        <v>124</v>
      </c>
      <c r="O494" t="s">
        <v>1576</v>
      </c>
      <c r="P494" t="s">
        <v>31</v>
      </c>
      <c r="Q494">
        <v>2</v>
      </c>
      <c r="R494">
        <v>2725.44</v>
      </c>
      <c r="S494" s="6">
        <v>0.25</v>
      </c>
      <c r="T494" s="6">
        <f t="shared" si="66"/>
        <v>0.25</v>
      </c>
      <c r="U494">
        <v>4088.16</v>
      </c>
      <c r="V494">
        <f t="shared" si="67"/>
        <v>4088.16</v>
      </c>
      <c r="W494" s="6">
        <f t="shared" si="68"/>
        <v>0</v>
      </c>
      <c r="X494">
        <v>3205.68</v>
      </c>
      <c r="Y494">
        <v>882.48</v>
      </c>
      <c r="Z494">
        <f t="shared" si="69"/>
        <v>882.48</v>
      </c>
      <c r="AA494" s="6">
        <f t="shared" si="70"/>
        <v>0</v>
      </c>
      <c r="AB494">
        <f t="shared" si="71"/>
        <v>0.21586239286133616</v>
      </c>
      <c r="AC494" t="s">
        <v>32</v>
      </c>
      <c r="AD494" t="s">
        <v>33</v>
      </c>
      <c r="AE494" t="s">
        <v>2828</v>
      </c>
    </row>
    <row r="495" spans="1:32">
      <c r="A495" t="s">
        <v>1577</v>
      </c>
      <c r="B495" s="3">
        <v>45701</v>
      </c>
      <c r="C495" t="str">
        <f t="shared" si="64"/>
        <v>February</v>
      </c>
      <c r="D495">
        <f t="shared" si="65"/>
        <v>2025</v>
      </c>
      <c r="E495" s="3">
        <v>45701</v>
      </c>
      <c r="F495">
        <f t="shared" si="63"/>
        <v>0</v>
      </c>
      <c r="G495" t="s">
        <v>1578</v>
      </c>
      <c r="H495" t="s">
        <v>264</v>
      </c>
      <c r="I495" t="s">
        <v>90</v>
      </c>
      <c r="J495" t="s">
        <v>38</v>
      </c>
      <c r="K495" t="s">
        <v>39</v>
      </c>
      <c r="L495" t="s">
        <v>40</v>
      </c>
      <c r="M495" t="s">
        <v>28</v>
      </c>
      <c r="N495" t="s">
        <v>29</v>
      </c>
      <c r="O495" t="s">
        <v>1579</v>
      </c>
      <c r="P495" t="s">
        <v>31</v>
      </c>
      <c r="Q495">
        <v>7</v>
      </c>
      <c r="R495">
        <v>2296.6999999999998</v>
      </c>
      <c r="S495" s="6">
        <v>0.05</v>
      </c>
      <c r="T495" s="6">
        <f t="shared" si="66"/>
        <v>0.05</v>
      </c>
      <c r="U495">
        <v>15273.05</v>
      </c>
      <c r="V495">
        <f t="shared" si="67"/>
        <v>15273.054999999997</v>
      </c>
      <c r="W495" s="6">
        <f t="shared" si="68"/>
        <v>4.9999999973806553E-3</v>
      </c>
      <c r="X495">
        <v>11088.76</v>
      </c>
      <c r="Y495">
        <v>4184.29</v>
      </c>
      <c r="Z495">
        <f t="shared" si="69"/>
        <v>4184.2949999999964</v>
      </c>
      <c r="AA495" s="6">
        <f t="shared" si="70"/>
        <v>4.9999999964711606E-3</v>
      </c>
      <c r="AB495">
        <f t="shared" si="71"/>
        <v>0.27396581757873573</v>
      </c>
      <c r="AC495" t="s">
        <v>32</v>
      </c>
      <c r="AD495" t="s">
        <v>33</v>
      </c>
      <c r="AE495" t="s">
        <v>2828</v>
      </c>
    </row>
    <row r="496" spans="1:32">
      <c r="A496" t="s">
        <v>1580</v>
      </c>
      <c r="B496" s="3">
        <v>45610</v>
      </c>
      <c r="C496" t="str">
        <f t="shared" si="64"/>
        <v>November</v>
      </c>
      <c r="D496">
        <f t="shared" si="65"/>
        <v>2024</v>
      </c>
      <c r="E496" s="3">
        <v>45618</v>
      </c>
      <c r="F496">
        <f t="shared" si="63"/>
        <v>8</v>
      </c>
      <c r="G496" t="s">
        <v>1581</v>
      </c>
      <c r="H496" t="s">
        <v>47</v>
      </c>
      <c r="I496" t="s">
        <v>24</v>
      </c>
      <c r="J496" t="s">
        <v>63</v>
      </c>
      <c r="K496" t="s">
        <v>72</v>
      </c>
      <c r="L496" t="s">
        <v>73</v>
      </c>
      <c r="M496" t="s">
        <v>74</v>
      </c>
      <c r="N496" t="s">
        <v>171</v>
      </c>
      <c r="O496" t="s">
        <v>1582</v>
      </c>
      <c r="P496" t="s">
        <v>59</v>
      </c>
      <c r="Q496">
        <v>3</v>
      </c>
      <c r="R496">
        <v>671.68</v>
      </c>
      <c r="S496" s="6">
        <v>-0.13</v>
      </c>
      <c r="T496" s="6">
        <f t="shared" si="66"/>
        <v>0.13</v>
      </c>
      <c r="U496">
        <v>1712.78</v>
      </c>
      <c r="V496">
        <f t="shared" si="67"/>
        <v>1753.0847999999999</v>
      </c>
      <c r="W496" s="6">
        <f t="shared" si="68"/>
        <v>40.304799999999886</v>
      </c>
      <c r="X496">
        <v>1569.38</v>
      </c>
      <c r="Y496">
        <v>360.66</v>
      </c>
      <c r="Z496">
        <f t="shared" si="69"/>
        <v>183.70479999999975</v>
      </c>
      <c r="AA496" s="6">
        <f t="shared" si="70"/>
        <v>-176.95520000000027</v>
      </c>
      <c r="AB496">
        <f t="shared" si="71"/>
        <v>0.10478945456603113</v>
      </c>
      <c r="AC496" t="s">
        <v>155</v>
      </c>
      <c r="AD496" t="s">
        <v>68</v>
      </c>
      <c r="AE496" t="s">
        <v>2826</v>
      </c>
      <c r="AF496" s="10" t="s">
        <v>2797</v>
      </c>
    </row>
    <row r="497" spans="1:32">
      <c r="A497" t="s">
        <v>1583</v>
      </c>
      <c r="B497" s="3">
        <v>45421</v>
      </c>
      <c r="C497" t="str">
        <f t="shared" si="64"/>
        <v>May</v>
      </c>
      <c r="D497">
        <f t="shared" si="65"/>
        <v>2024</v>
      </c>
      <c r="E497" s="3">
        <v>45427</v>
      </c>
      <c r="F497">
        <f t="shared" si="63"/>
        <v>6</v>
      </c>
      <c r="G497" t="s">
        <v>1584</v>
      </c>
      <c r="H497" t="s">
        <v>36</v>
      </c>
      <c r="I497" t="s">
        <v>37</v>
      </c>
      <c r="J497" t="s">
        <v>38</v>
      </c>
      <c r="K497" t="s">
        <v>166</v>
      </c>
      <c r="L497" t="s">
        <v>167</v>
      </c>
      <c r="M497" t="s">
        <v>74</v>
      </c>
      <c r="N497" t="s">
        <v>171</v>
      </c>
      <c r="O497" t="s">
        <v>1585</v>
      </c>
      <c r="P497" t="s">
        <v>31</v>
      </c>
      <c r="Q497">
        <v>4</v>
      </c>
      <c r="R497">
        <v>995.98</v>
      </c>
      <c r="S497" s="6">
        <v>0.05</v>
      </c>
      <c r="T497" s="6">
        <f t="shared" si="66"/>
        <v>0.05</v>
      </c>
      <c r="U497">
        <v>3784.72</v>
      </c>
      <c r="V497">
        <f t="shared" si="67"/>
        <v>3784.7239999999997</v>
      </c>
      <c r="W497" s="6">
        <f t="shared" si="68"/>
        <v>3.9999999999054126E-3</v>
      </c>
      <c r="X497">
        <v>2419.2399999999998</v>
      </c>
      <c r="Y497">
        <v>1365.48</v>
      </c>
      <c r="Z497">
        <f t="shared" si="69"/>
        <v>1365.4839999999999</v>
      </c>
      <c r="AA497" s="6">
        <f t="shared" si="70"/>
        <v>3.9999999999054126E-3</v>
      </c>
      <c r="AB497">
        <f t="shared" si="71"/>
        <v>0.36078826355633858</v>
      </c>
      <c r="AC497" t="s">
        <v>102</v>
      </c>
      <c r="AD497" t="s">
        <v>103</v>
      </c>
      <c r="AE497" t="s">
        <v>2827</v>
      </c>
      <c r="AF497" t="s">
        <v>2807</v>
      </c>
    </row>
    <row r="498" spans="1:32">
      <c r="A498" t="s">
        <v>1586</v>
      </c>
      <c r="B498" s="3">
        <v>45754</v>
      </c>
      <c r="C498" t="str">
        <f t="shared" si="64"/>
        <v>April</v>
      </c>
      <c r="D498">
        <f t="shared" si="65"/>
        <v>2025</v>
      </c>
      <c r="E498" s="3">
        <v>45815</v>
      </c>
      <c r="F498">
        <f t="shared" si="63"/>
        <v>61</v>
      </c>
      <c r="G498" t="s">
        <v>1587</v>
      </c>
      <c r="H498" t="s">
        <v>264</v>
      </c>
      <c r="I498" t="s">
        <v>37</v>
      </c>
      <c r="J498" t="s">
        <v>38</v>
      </c>
      <c r="K498" t="s">
        <v>228</v>
      </c>
      <c r="L498" t="s">
        <v>229</v>
      </c>
      <c r="M498" t="s">
        <v>41</v>
      </c>
      <c r="N498" t="s">
        <v>66</v>
      </c>
      <c r="O498" t="s">
        <v>1588</v>
      </c>
      <c r="P498" t="s">
        <v>31</v>
      </c>
      <c r="Q498">
        <v>2</v>
      </c>
      <c r="R498">
        <v>3686.42</v>
      </c>
      <c r="S498" s="6">
        <v>0.1</v>
      </c>
      <c r="T498" s="6">
        <f t="shared" si="66"/>
        <v>0.1</v>
      </c>
      <c r="U498">
        <v>6635.56</v>
      </c>
      <c r="V498">
        <f t="shared" si="67"/>
        <v>6635.5560000000005</v>
      </c>
      <c r="W498" s="6">
        <f t="shared" si="68"/>
        <v>-3.9999999999054126E-3</v>
      </c>
      <c r="X498">
        <v>3652.91</v>
      </c>
      <c r="Y498">
        <v>2982.65</v>
      </c>
      <c r="Z498">
        <f t="shared" si="69"/>
        <v>2982.6460000000006</v>
      </c>
      <c r="AA498" s="6">
        <f t="shared" si="70"/>
        <v>-3.9999999994506652E-3</v>
      </c>
      <c r="AB498">
        <f t="shared" si="71"/>
        <v>0.44949451108543131</v>
      </c>
      <c r="AC498" t="s">
        <v>32</v>
      </c>
      <c r="AD498" t="s">
        <v>33</v>
      </c>
      <c r="AE498" t="s">
        <v>2828</v>
      </c>
    </row>
    <row r="499" spans="1:32">
      <c r="A499" t="s">
        <v>1589</v>
      </c>
      <c r="B499" s="3">
        <v>45533</v>
      </c>
      <c r="C499" t="str">
        <f t="shared" si="64"/>
        <v>August</v>
      </c>
      <c r="D499">
        <f t="shared" si="65"/>
        <v>2024</v>
      </c>
      <c r="E499" s="3">
        <v>45533</v>
      </c>
      <c r="F499">
        <f t="shared" si="63"/>
        <v>0</v>
      </c>
      <c r="G499" t="s">
        <v>1590</v>
      </c>
      <c r="H499" t="s">
        <v>132</v>
      </c>
      <c r="I499" t="s">
        <v>37</v>
      </c>
      <c r="J499" t="s">
        <v>25</v>
      </c>
      <c r="K499" t="s">
        <v>136</v>
      </c>
      <c r="L499" t="s">
        <v>137</v>
      </c>
      <c r="M499" t="s">
        <v>74</v>
      </c>
      <c r="N499" t="s">
        <v>75</v>
      </c>
      <c r="O499" t="s">
        <v>1591</v>
      </c>
      <c r="P499" t="s">
        <v>31</v>
      </c>
      <c r="Q499">
        <v>1</v>
      </c>
      <c r="R499">
        <v>3106.88</v>
      </c>
      <c r="S499" s="6">
        <v>0.2</v>
      </c>
      <c r="T499" s="6">
        <f t="shared" si="66"/>
        <v>0.2</v>
      </c>
      <c r="U499">
        <v>2485.5</v>
      </c>
      <c r="V499">
        <f t="shared" si="67"/>
        <v>2485.5040000000004</v>
      </c>
      <c r="W499" s="6">
        <f t="shared" si="68"/>
        <v>4.0000000003601599E-3</v>
      </c>
      <c r="X499">
        <v>2028.43</v>
      </c>
      <c r="Y499">
        <v>457.07</v>
      </c>
      <c r="Z499">
        <f t="shared" si="69"/>
        <v>457.0740000000003</v>
      </c>
      <c r="AA499" s="6">
        <f t="shared" si="70"/>
        <v>4.0000000003033165E-3</v>
      </c>
      <c r="AB499">
        <f t="shared" si="71"/>
        <v>0.18389590199814615</v>
      </c>
      <c r="AC499" t="s">
        <v>32</v>
      </c>
      <c r="AD499" t="s">
        <v>68</v>
      </c>
      <c r="AE499" t="s">
        <v>2827</v>
      </c>
      <c r="AF499" t="s">
        <v>2795</v>
      </c>
    </row>
    <row r="500" spans="1:32">
      <c r="A500" t="s">
        <v>1592</v>
      </c>
      <c r="B500" s="3">
        <v>45847</v>
      </c>
      <c r="C500" t="str">
        <f t="shared" si="64"/>
        <v>July</v>
      </c>
      <c r="D500">
        <f t="shared" si="65"/>
        <v>2025</v>
      </c>
      <c r="E500" s="3">
        <v>45939</v>
      </c>
      <c r="F500">
        <f t="shared" si="63"/>
        <v>92</v>
      </c>
      <c r="G500" t="s">
        <v>1593</v>
      </c>
      <c r="H500" t="s">
        <v>23</v>
      </c>
      <c r="I500" t="s">
        <v>24</v>
      </c>
      <c r="J500" t="s">
        <v>25</v>
      </c>
      <c r="K500" t="s">
        <v>122</v>
      </c>
      <c r="L500" t="s">
        <v>123</v>
      </c>
      <c r="M500" t="s">
        <v>41</v>
      </c>
      <c r="N500" t="s">
        <v>66</v>
      </c>
      <c r="O500" t="s">
        <v>1594</v>
      </c>
      <c r="P500" t="s">
        <v>44</v>
      </c>
      <c r="Q500">
        <v>2</v>
      </c>
      <c r="R500">
        <v>447.55</v>
      </c>
      <c r="S500" s="6">
        <v>0.05</v>
      </c>
      <c r="T500" s="6">
        <f t="shared" si="66"/>
        <v>0.05</v>
      </c>
      <c r="U500">
        <v>850.35</v>
      </c>
      <c r="V500">
        <f t="shared" si="67"/>
        <v>850.34500000000003</v>
      </c>
      <c r="W500" s="6">
        <f t="shared" si="68"/>
        <v>-4.9999999999954525E-3</v>
      </c>
      <c r="X500">
        <v>600.98</v>
      </c>
      <c r="Y500">
        <v>249.37</v>
      </c>
      <c r="Z500">
        <f t="shared" si="69"/>
        <v>249.36500000000001</v>
      </c>
      <c r="AA500" s="6">
        <f t="shared" si="70"/>
        <v>-4.9999999999954525E-3</v>
      </c>
      <c r="AB500">
        <f t="shared" si="71"/>
        <v>0.29325156260106194</v>
      </c>
      <c r="AC500" t="s">
        <v>102</v>
      </c>
      <c r="AD500" t="s">
        <v>68</v>
      </c>
      <c r="AE500" t="s">
        <v>2827</v>
      </c>
      <c r="AF500" t="s">
        <v>2808</v>
      </c>
    </row>
    <row r="501" spans="1:32">
      <c r="A501" t="s">
        <v>1595</v>
      </c>
      <c r="B501" s="3">
        <v>45648</v>
      </c>
      <c r="C501" t="str">
        <f t="shared" si="64"/>
        <v>December</v>
      </c>
      <c r="D501">
        <f t="shared" si="65"/>
        <v>2024</v>
      </c>
      <c r="E501" s="3">
        <v>45652</v>
      </c>
      <c r="F501">
        <f t="shared" si="63"/>
        <v>4</v>
      </c>
      <c r="G501" t="s">
        <v>1596</v>
      </c>
      <c r="H501" t="s">
        <v>118</v>
      </c>
      <c r="I501" t="s">
        <v>95</v>
      </c>
      <c r="J501" t="s">
        <v>25</v>
      </c>
      <c r="K501" t="s">
        <v>136</v>
      </c>
      <c r="L501" t="s">
        <v>137</v>
      </c>
      <c r="M501" t="s">
        <v>41</v>
      </c>
      <c r="N501" t="s">
        <v>66</v>
      </c>
      <c r="O501" t="s">
        <v>1597</v>
      </c>
      <c r="P501" t="s">
        <v>59</v>
      </c>
      <c r="Q501">
        <v>9</v>
      </c>
      <c r="R501">
        <v>1110.8699999999999</v>
      </c>
      <c r="S501" s="6">
        <v>0</v>
      </c>
      <c r="T501" s="6">
        <f t="shared" si="66"/>
        <v>0</v>
      </c>
      <c r="U501">
        <v>7498.37</v>
      </c>
      <c r="V501">
        <f t="shared" si="67"/>
        <v>9997.8299999999981</v>
      </c>
      <c r="W501" s="6">
        <f t="shared" si="68"/>
        <v>2499.4599999999982</v>
      </c>
      <c r="X501">
        <v>6059.07</v>
      </c>
      <c r="Y501">
        <v>1439.3</v>
      </c>
      <c r="Z501">
        <f t="shared" si="69"/>
        <v>3938.7599999999984</v>
      </c>
      <c r="AA501" s="6">
        <f t="shared" si="70"/>
        <v>2499.4599999999982</v>
      </c>
      <c r="AB501">
        <f t="shared" si="71"/>
        <v>0.3939614896432525</v>
      </c>
      <c r="AC501" t="s">
        <v>32</v>
      </c>
      <c r="AD501" t="s">
        <v>68</v>
      </c>
      <c r="AE501" t="s">
        <v>2827</v>
      </c>
      <c r="AF501" t="s">
        <v>2795</v>
      </c>
    </row>
    <row r="502" spans="1:32">
      <c r="A502" t="s">
        <v>1598</v>
      </c>
      <c r="B502" s="3">
        <v>45429</v>
      </c>
      <c r="C502" t="str">
        <f t="shared" si="64"/>
        <v>May</v>
      </c>
      <c r="D502">
        <f t="shared" si="65"/>
        <v>2024</v>
      </c>
      <c r="E502" s="3">
        <v>45434</v>
      </c>
      <c r="F502">
        <f t="shared" si="63"/>
        <v>5</v>
      </c>
      <c r="G502" t="s">
        <v>1599</v>
      </c>
      <c r="H502" t="s">
        <v>132</v>
      </c>
      <c r="I502" t="s">
        <v>24</v>
      </c>
      <c r="J502" t="s">
        <v>54</v>
      </c>
      <c r="K502" t="s">
        <v>185</v>
      </c>
      <c r="L502" t="s">
        <v>186</v>
      </c>
      <c r="M502" t="s">
        <v>74</v>
      </c>
      <c r="N502" t="s">
        <v>171</v>
      </c>
      <c r="O502" t="s">
        <v>1600</v>
      </c>
      <c r="P502" t="s">
        <v>44</v>
      </c>
      <c r="Q502">
        <v>9</v>
      </c>
      <c r="R502">
        <v>3795.99</v>
      </c>
      <c r="S502" s="6">
        <v>0.85</v>
      </c>
      <c r="T502" s="6">
        <f t="shared" si="66"/>
        <v>0.85</v>
      </c>
      <c r="U502">
        <v>34163.910000000003</v>
      </c>
      <c r="V502">
        <f t="shared" si="67"/>
        <v>5124.5865000000003</v>
      </c>
      <c r="W502" s="6">
        <f t="shared" si="68"/>
        <v>-29039.323500000002</v>
      </c>
      <c r="X502">
        <v>28577.15</v>
      </c>
      <c r="Y502">
        <v>5586.76</v>
      </c>
      <c r="Z502">
        <f t="shared" si="69"/>
        <v>-23452.5635</v>
      </c>
      <c r="AA502" s="6">
        <f t="shared" si="70"/>
        <v>-29039.323499999999</v>
      </c>
      <c r="AB502">
        <f t="shared" si="71"/>
        <v>-4.5764791949555343</v>
      </c>
      <c r="AC502" t="s">
        <v>32</v>
      </c>
      <c r="AD502" t="s">
        <v>33</v>
      </c>
      <c r="AE502" t="s">
        <v>2826</v>
      </c>
      <c r="AF502" s="10" t="s">
        <v>2791</v>
      </c>
    </row>
    <row r="503" spans="1:32">
      <c r="A503" t="s">
        <v>1601</v>
      </c>
      <c r="B503" s="3">
        <v>45604</v>
      </c>
      <c r="C503" t="str">
        <f t="shared" si="64"/>
        <v>November</v>
      </c>
      <c r="D503">
        <f t="shared" si="65"/>
        <v>2024</v>
      </c>
      <c r="E503" s="3">
        <v>45521</v>
      </c>
      <c r="F503">
        <f t="shared" si="63"/>
        <v>-83</v>
      </c>
      <c r="G503" t="s">
        <v>806</v>
      </c>
      <c r="H503" t="s">
        <v>79</v>
      </c>
      <c r="I503" t="s">
        <v>24</v>
      </c>
      <c r="J503" t="s">
        <v>38</v>
      </c>
      <c r="K503" t="s">
        <v>228</v>
      </c>
      <c r="L503" t="s">
        <v>229</v>
      </c>
      <c r="M503" t="s">
        <v>28</v>
      </c>
      <c r="N503" t="s">
        <v>48</v>
      </c>
      <c r="O503" t="s">
        <v>1602</v>
      </c>
      <c r="P503" t="s">
        <v>31</v>
      </c>
      <c r="Q503">
        <v>6</v>
      </c>
      <c r="R503">
        <v>3497.54</v>
      </c>
      <c r="S503" s="6">
        <v>0.15</v>
      </c>
      <c r="T503" s="6">
        <f t="shared" si="66"/>
        <v>0.15</v>
      </c>
      <c r="U503">
        <v>17837.45</v>
      </c>
      <c r="V503">
        <f t="shared" si="67"/>
        <v>17837.453999999998</v>
      </c>
      <c r="W503" s="6">
        <f t="shared" si="68"/>
        <v>3.9999999971769284E-3</v>
      </c>
      <c r="X503">
        <v>13627.02</v>
      </c>
      <c r="Y503">
        <v>4210.43</v>
      </c>
      <c r="Z503">
        <f t="shared" si="69"/>
        <v>4210.4339999999975</v>
      </c>
      <c r="AA503" s="6">
        <f t="shared" si="70"/>
        <v>3.9999999971769284E-3</v>
      </c>
      <c r="AB503">
        <f t="shared" si="71"/>
        <v>0.23604456106796395</v>
      </c>
      <c r="AC503" t="s">
        <v>32</v>
      </c>
      <c r="AD503" t="s">
        <v>33</v>
      </c>
      <c r="AE503" t="s">
        <v>2826</v>
      </c>
      <c r="AF503" s="10" t="s">
        <v>2790</v>
      </c>
    </row>
    <row r="504" spans="1:32">
      <c r="A504" t="s">
        <v>1603</v>
      </c>
      <c r="B504" s="3">
        <v>45383</v>
      </c>
      <c r="C504" t="str">
        <f t="shared" si="64"/>
        <v>April</v>
      </c>
      <c r="D504">
        <f t="shared" si="65"/>
        <v>2024</v>
      </c>
      <c r="E504" s="3">
        <v>45539</v>
      </c>
      <c r="F504">
        <f t="shared" si="63"/>
        <v>156</v>
      </c>
      <c r="G504" t="s">
        <v>1604</v>
      </c>
      <c r="H504" t="s">
        <v>114</v>
      </c>
      <c r="I504" t="s">
        <v>37</v>
      </c>
      <c r="J504" t="s">
        <v>38</v>
      </c>
      <c r="K504" t="s">
        <v>39</v>
      </c>
      <c r="L504" t="s">
        <v>40</v>
      </c>
      <c r="M504" t="s">
        <v>74</v>
      </c>
      <c r="N504" t="s">
        <v>80</v>
      </c>
      <c r="O504" t="s">
        <v>1605</v>
      </c>
      <c r="P504" t="s">
        <v>31</v>
      </c>
      <c r="Q504">
        <v>6</v>
      </c>
      <c r="R504">
        <v>826.93</v>
      </c>
      <c r="S504" s="6">
        <v>0.1</v>
      </c>
      <c r="T504" s="6">
        <f t="shared" si="66"/>
        <v>0.1</v>
      </c>
      <c r="U504">
        <v>4465.42</v>
      </c>
      <c r="V504">
        <f t="shared" si="67"/>
        <v>4465.4220000000005</v>
      </c>
      <c r="W504" s="6">
        <f t="shared" si="68"/>
        <v>2.0000000004074536E-3</v>
      </c>
      <c r="X504">
        <v>3377.1</v>
      </c>
      <c r="Y504">
        <v>1088.32</v>
      </c>
      <c r="Z504">
        <f t="shared" si="69"/>
        <v>1088.3220000000006</v>
      </c>
      <c r="AA504" s="6">
        <f t="shared" si="70"/>
        <v>2.0000000006348273E-3</v>
      </c>
      <c r="AB504">
        <f t="shared" si="71"/>
        <v>0.24372209390288319</v>
      </c>
      <c r="AC504" t="s">
        <v>32</v>
      </c>
      <c r="AD504" t="s">
        <v>33</v>
      </c>
      <c r="AE504" t="s">
        <v>2828</v>
      </c>
    </row>
    <row r="505" spans="1:32">
      <c r="A505" t="s">
        <v>1606</v>
      </c>
      <c r="B505" s="3">
        <v>45563</v>
      </c>
      <c r="C505" t="str">
        <f t="shared" si="64"/>
        <v>September</v>
      </c>
      <c r="D505">
        <f t="shared" si="65"/>
        <v>2024</v>
      </c>
      <c r="E505" s="3">
        <v>45422</v>
      </c>
      <c r="F505">
        <f t="shared" si="63"/>
        <v>-141</v>
      </c>
      <c r="G505" t="s">
        <v>1607</v>
      </c>
      <c r="H505" t="s">
        <v>128</v>
      </c>
      <c r="I505" t="s">
        <v>24</v>
      </c>
      <c r="J505" t="s">
        <v>54</v>
      </c>
      <c r="K505" t="s">
        <v>247</v>
      </c>
      <c r="L505" t="s">
        <v>248</v>
      </c>
      <c r="M505" t="s">
        <v>74</v>
      </c>
      <c r="N505" t="s">
        <v>171</v>
      </c>
      <c r="O505" t="s">
        <v>1608</v>
      </c>
      <c r="P505" t="s">
        <v>59</v>
      </c>
      <c r="Q505">
        <v>7</v>
      </c>
      <c r="R505">
        <v>1681.6</v>
      </c>
      <c r="S505" s="6">
        <v>0.1</v>
      </c>
      <c r="T505" s="6">
        <f t="shared" si="66"/>
        <v>0.1</v>
      </c>
      <c r="U505">
        <v>10594.08</v>
      </c>
      <c r="V505">
        <f t="shared" si="67"/>
        <v>10594.08</v>
      </c>
      <c r="W505" s="6">
        <f t="shared" si="68"/>
        <v>0</v>
      </c>
      <c r="X505">
        <v>7160.31</v>
      </c>
      <c r="Y505">
        <v>3433.77</v>
      </c>
      <c r="Z505">
        <f t="shared" si="69"/>
        <v>3433.7699999999995</v>
      </c>
      <c r="AA505" s="6">
        <f t="shared" si="70"/>
        <v>0</v>
      </c>
      <c r="AB505">
        <f t="shared" si="71"/>
        <v>0.32412158488514337</v>
      </c>
      <c r="AC505" t="s">
        <v>32</v>
      </c>
      <c r="AD505" t="s">
        <v>33</v>
      </c>
      <c r="AE505" t="s">
        <v>2826</v>
      </c>
      <c r="AF505" s="10" t="s">
        <v>2790</v>
      </c>
    </row>
    <row r="506" spans="1:32">
      <c r="A506" t="s">
        <v>1609</v>
      </c>
      <c r="B506" s="3">
        <v>45993</v>
      </c>
      <c r="C506" t="str">
        <f t="shared" si="64"/>
        <v>December</v>
      </c>
      <c r="D506">
        <f t="shared" si="65"/>
        <v>2025</v>
      </c>
      <c r="E506" s="3">
        <v>45705</v>
      </c>
      <c r="F506">
        <f t="shared" si="63"/>
        <v>-288</v>
      </c>
      <c r="G506" t="s">
        <v>1610</v>
      </c>
      <c r="H506" t="s">
        <v>53</v>
      </c>
      <c r="I506" t="s">
        <v>90</v>
      </c>
      <c r="J506" t="s">
        <v>63</v>
      </c>
      <c r="K506" t="s">
        <v>180</v>
      </c>
      <c r="L506" t="s">
        <v>181</v>
      </c>
      <c r="M506" t="s">
        <v>28</v>
      </c>
      <c r="N506" t="s">
        <v>48</v>
      </c>
      <c r="O506" t="s">
        <v>1611</v>
      </c>
      <c r="P506" t="s">
        <v>59</v>
      </c>
      <c r="Q506">
        <v>4</v>
      </c>
      <c r="R506">
        <v>4328.12</v>
      </c>
      <c r="S506" s="6">
        <v>0</v>
      </c>
      <c r="T506" s="6">
        <f t="shared" si="66"/>
        <v>0</v>
      </c>
      <c r="U506">
        <v>17312.48</v>
      </c>
      <c r="V506">
        <f t="shared" si="67"/>
        <v>17312.48</v>
      </c>
      <c r="W506" s="6">
        <f t="shared" si="68"/>
        <v>0</v>
      </c>
      <c r="X506">
        <v>14424.22</v>
      </c>
      <c r="Y506">
        <v>2888.26</v>
      </c>
      <c r="Z506">
        <f t="shared" si="69"/>
        <v>2888.26</v>
      </c>
      <c r="AA506" s="6">
        <f t="shared" si="70"/>
        <v>0</v>
      </c>
      <c r="AB506">
        <f t="shared" si="71"/>
        <v>0.16683109525613893</v>
      </c>
      <c r="AC506" t="s">
        <v>32</v>
      </c>
      <c r="AD506" t="s">
        <v>33</v>
      </c>
      <c r="AE506" t="s">
        <v>2826</v>
      </c>
      <c r="AF506" s="10" t="s">
        <v>2790</v>
      </c>
    </row>
    <row r="507" spans="1:32">
      <c r="A507" t="s">
        <v>1612</v>
      </c>
      <c r="B507" s="3">
        <v>45546</v>
      </c>
      <c r="C507" t="str">
        <f t="shared" si="64"/>
        <v>September</v>
      </c>
      <c r="D507">
        <f t="shared" si="65"/>
        <v>2024</v>
      </c>
      <c r="E507" s="3">
        <v>45610</v>
      </c>
      <c r="F507">
        <f t="shared" si="63"/>
        <v>64</v>
      </c>
      <c r="G507" t="s">
        <v>1613</v>
      </c>
      <c r="H507" t="s">
        <v>79</v>
      </c>
      <c r="I507" t="s">
        <v>90</v>
      </c>
      <c r="J507" t="s">
        <v>63</v>
      </c>
      <c r="K507" t="s">
        <v>72</v>
      </c>
      <c r="L507" t="s">
        <v>73</v>
      </c>
      <c r="M507" t="s">
        <v>28</v>
      </c>
      <c r="N507" t="s">
        <v>48</v>
      </c>
      <c r="O507" t="s">
        <v>1614</v>
      </c>
      <c r="P507" t="s">
        <v>50</v>
      </c>
      <c r="Q507">
        <v>9</v>
      </c>
      <c r="R507">
        <v>2438.29</v>
      </c>
      <c r="S507" s="6">
        <v>0.2</v>
      </c>
      <c r="T507" s="6">
        <f t="shared" si="66"/>
        <v>0.2</v>
      </c>
      <c r="U507">
        <v>17555.689999999999</v>
      </c>
      <c r="V507">
        <f t="shared" si="67"/>
        <v>17555.688000000002</v>
      </c>
      <c r="W507" s="6">
        <f t="shared" si="68"/>
        <v>-1.9999999967694748E-3</v>
      </c>
      <c r="X507">
        <v>13293.2</v>
      </c>
      <c r="Y507">
        <v>4262.49</v>
      </c>
      <c r="Z507">
        <f t="shared" si="69"/>
        <v>4262.4880000000012</v>
      </c>
      <c r="AA507" s="6">
        <f t="shared" si="70"/>
        <v>-1.9999999985884642E-3</v>
      </c>
      <c r="AB507">
        <f t="shared" si="71"/>
        <v>0.24279811762432785</v>
      </c>
      <c r="AC507" t="s">
        <v>32</v>
      </c>
      <c r="AD507" t="s">
        <v>68</v>
      </c>
      <c r="AE507" t="s">
        <v>2827</v>
      </c>
      <c r="AF507" t="s">
        <v>2795</v>
      </c>
    </row>
    <row r="508" spans="1:32">
      <c r="A508" t="s">
        <v>1615</v>
      </c>
      <c r="B508" s="3">
        <v>45641</v>
      </c>
      <c r="C508" t="str">
        <f t="shared" si="64"/>
        <v>December</v>
      </c>
      <c r="D508">
        <f t="shared" si="65"/>
        <v>2024</v>
      </c>
      <c r="E508" s="3">
        <v>45641</v>
      </c>
      <c r="F508">
        <f t="shared" si="63"/>
        <v>0</v>
      </c>
      <c r="G508" t="s">
        <v>1616</v>
      </c>
      <c r="H508" t="s">
        <v>128</v>
      </c>
      <c r="I508" t="s">
        <v>37</v>
      </c>
      <c r="J508" t="s">
        <v>25</v>
      </c>
      <c r="K508" t="s">
        <v>122</v>
      </c>
      <c r="L508" t="s">
        <v>123</v>
      </c>
      <c r="M508" t="s">
        <v>41</v>
      </c>
      <c r="N508" t="s">
        <v>57</v>
      </c>
      <c r="O508" t="s">
        <v>1617</v>
      </c>
      <c r="P508" t="s">
        <v>50</v>
      </c>
      <c r="Q508">
        <v>2</v>
      </c>
      <c r="R508">
        <v>669.8</v>
      </c>
      <c r="S508" s="6">
        <v>0.1</v>
      </c>
      <c r="T508" s="6">
        <f t="shared" si="66"/>
        <v>0.1</v>
      </c>
      <c r="U508">
        <v>1205.6400000000001</v>
      </c>
      <c r="V508">
        <f t="shared" si="67"/>
        <v>1205.6399999999999</v>
      </c>
      <c r="W508" s="6">
        <f t="shared" si="68"/>
        <v>0</v>
      </c>
      <c r="X508">
        <v>842.07</v>
      </c>
      <c r="Y508">
        <v>363.57</v>
      </c>
      <c r="Z508">
        <f t="shared" si="69"/>
        <v>363.56999999999982</v>
      </c>
      <c r="AA508" s="6">
        <f t="shared" si="70"/>
        <v>0</v>
      </c>
      <c r="AB508">
        <f t="shared" si="71"/>
        <v>0.30155767890912699</v>
      </c>
      <c r="AC508" t="s">
        <v>102</v>
      </c>
      <c r="AD508" t="s">
        <v>103</v>
      </c>
      <c r="AE508" t="s">
        <v>2827</v>
      </c>
      <c r="AF508" t="s">
        <v>2807</v>
      </c>
    </row>
    <row r="509" spans="1:32">
      <c r="A509" t="s">
        <v>1618</v>
      </c>
      <c r="B509" s="3">
        <v>45762</v>
      </c>
      <c r="C509" t="str">
        <f t="shared" si="64"/>
        <v>April</v>
      </c>
      <c r="D509">
        <f t="shared" si="65"/>
        <v>2025</v>
      </c>
      <c r="E509" s="3">
        <v>45769</v>
      </c>
      <c r="F509">
        <f t="shared" si="63"/>
        <v>7</v>
      </c>
      <c r="G509" t="s">
        <v>1619</v>
      </c>
      <c r="H509" t="s">
        <v>47</v>
      </c>
      <c r="I509" t="s">
        <v>37</v>
      </c>
      <c r="J509" t="s">
        <v>25</v>
      </c>
      <c r="K509" t="s">
        <v>236</v>
      </c>
      <c r="L509" t="s">
        <v>237</v>
      </c>
      <c r="M509" t="s">
        <v>28</v>
      </c>
      <c r="N509" t="s">
        <v>153</v>
      </c>
      <c r="O509" t="s">
        <v>1620</v>
      </c>
      <c r="P509" t="s">
        <v>44</v>
      </c>
      <c r="Q509">
        <v>4</v>
      </c>
      <c r="R509">
        <v>2990.42</v>
      </c>
      <c r="S509" s="6">
        <v>0.25</v>
      </c>
      <c r="T509" s="6">
        <f t="shared" si="66"/>
        <v>0.25</v>
      </c>
      <c r="U509">
        <v>8971.26</v>
      </c>
      <c r="V509">
        <f t="shared" si="67"/>
        <v>8971.26</v>
      </c>
      <c r="W509" s="6">
        <f t="shared" si="68"/>
        <v>0</v>
      </c>
      <c r="X509">
        <v>6814.35</v>
      </c>
      <c r="Y509">
        <v>2156.91</v>
      </c>
      <c r="Z509">
        <f t="shared" si="69"/>
        <v>2156.91</v>
      </c>
      <c r="AA509" s="6">
        <f t="shared" si="70"/>
        <v>0</v>
      </c>
      <c r="AB509">
        <f t="shared" si="71"/>
        <v>0.24042442198754688</v>
      </c>
      <c r="AC509" t="s">
        <v>32</v>
      </c>
      <c r="AD509" t="s">
        <v>33</v>
      </c>
      <c r="AE509" t="s">
        <v>2828</v>
      </c>
    </row>
    <row r="510" spans="1:32">
      <c r="A510" t="s">
        <v>1621</v>
      </c>
      <c r="B510" s="3">
        <v>45382</v>
      </c>
      <c r="C510" t="str">
        <f t="shared" si="64"/>
        <v>March</v>
      </c>
      <c r="D510">
        <f t="shared" si="65"/>
        <v>2024</v>
      </c>
      <c r="E510" s="3">
        <v>45477</v>
      </c>
      <c r="F510">
        <f t="shared" si="63"/>
        <v>95</v>
      </c>
      <c r="G510" t="s">
        <v>1622</v>
      </c>
      <c r="H510" t="s">
        <v>47</v>
      </c>
      <c r="I510" t="s">
        <v>37</v>
      </c>
      <c r="J510" t="s">
        <v>25</v>
      </c>
      <c r="K510" t="s">
        <v>236</v>
      </c>
      <c r="L510" t="s">
        <v>237</v>
      </c>
      <c r="M510" t="s">
        <v>74</v>
      </c>
      <c r="N510" t="s">
        <v>274</v>
      </c>
      <c r="O510" t="s">
        <v>1623</v>
      </c>
      <c r="P510" t="s">
        <v>31</v>
      </c>
      <c r="Q510">
        <v>4</v>
      </c>
      <c r="R510">
        <v>1831</v>
      </c>
      <c r="S510" s="6">
        <v>0</v>
      </c>
      <c r="T510" s="6">
        <f t="shared" si="66"/>
        <v>0</v>
      </c>
      <c r="U510">
        <v>7324</v>
      </c>
      <c r="V510">
        <f t="shared" si="67"/>
        <v>7324</v>
      </c>
      <c r="W510" s="6">
        <f t="shared" si="68"/>
        <v>0</v>
      </c>
      <c r="X510">
        <v>4179.63</v>
      </c>
      <c r="Y510">
        <v>3144.37</v>
      </c>
      <c r="Z510">
        <f t="shared" si="69"/>
        <v>3144.37</v>
      </c>
      <c r="AA510" s="6">
        <f t="shared" si="70"/>
        <v>0</v>
      </c>
      <c r="AB510">
        <f t="shared" si="71"/>
        <v>0.42932413981430911</v>
      </c>
      <c r="AC510" t="s">
        <v>32</v>
      </c>
      <c r="AD510" t="s">
        <v>33</v>
      </c>
      <c r="AE510" t="s">
        <v>2828</v>
      </c>
    </row>
    <row r="511" spans="1:32">
      <c r="A511" t="s">
        <v>1624</v>
      </c>
      <c r="B511" s="3">
        <v>45996</v>
      </c>
      <c r="C511" t="str">
        <f t="shared" si="64"/>
        <v>December</v>
      </c>
      <c r="D511">
        <f t="shared" si="65"/>
        <v>2025</v>
      </c>
      <c r="E511" s="3">
        <v>45791</v>
      </c>
      <c r="F511">
        <f t="shared" si="63"/>
        <v>-205</v>
      </c>
      <c r="G511" t="s">
        <v>1625</v>
      </c>
      <c r="H511" t="s">
        <v>79</v>
      </c>
      <c r="I511" t="s">
        <v>24</v>
      </c>
      <c r="J511" t="s">
        <v>63</v>
      </c>
      <c r="K511" t="s">
        <v>180</v>
      </c>
      <c r="L511" t="s">
        <v>181</v>
      </c>
      <c r="M511" t="s">
        <v>74</v>
      </c>
      <c r="N511" t="s">
        <v>274</v>
      </c>
      <c r="O511" t="s">
        <v>1626</v>
      </c>
      <c r="P511" t="s">
        <v>44</v>
      </c>
      <c r="Q511">
        <v>8</v>
      </c>
      <c r="R511">
        <v>3631.44</v>
      </c>
      <c r="S511" s="6">
        <v>0.2</v>
      </c>
      <c r="T511" s="6">
        <f t="shared" si="66"/>
        <v>0.2</v>
      </c>
      <c r="U511">
        <v>23241.22</v>
      </c>
      <c r="V511">
        <f t="shared" si="67"/>
        <v>23241.216</v>
      </c>
      <c r="W511" s="6">
        <f t="shared" si="68"/>
        <v>-4.0000000008149073E-3</v>
      </c>
      <c r="X511">
        <v>17220.900000000001</v>
      </c>
      <c r="Y511">
        <v>6020.32</v>
      </c>
      <c r="Z511">
        <f t="shared" si="69"/>
        <v>6020.3159999999989</v>
      </c>
      <c r="AA511" s="6">
        <f t="shared" si="70"/>
        <v>-4.0000000008149073E-3</v>
      </c>
      <c r="AB511">
        <f t="shared" si="71"/>
        <v>0.25903618812371948</v>
      </c>
      <c r="AC511" t="s">
        <v>32</v>
      </c>
      <c r="AD511" t="s">
        <v>33</v>
      </c>
      <c r="AE511" t="s">
        <v>2826</v>
      </c>
      <c r="AF511" s="10" t="s">
        <v>2790</v>
      </c>
    </row>
    <row r="512" spans="1:32">
      <c r="A512" t="s">
        <v>1627</v>
      </c>
      <c r="B512" s="3">
        <v>45583</v>
      </c>
      <c r="C512" t="str">
        <f t="shared" si="64"/>
        <v>October</v>
      </c>
      <c r="D512">
        <f t="shared" si="65"/>
        <v>2024</v>
      </c>
      <c r="E512" s="3">
        <v>45586</v>
      </c>
      <c r="F512">
        <f t="shared" si="63"/>
        <v>3</v>
      </c>
      <c r="G512" t="s">
        <v>1628</v>
      </c>
      <c r="H512" t="s">
        <v>128</v>
      </c>
      <c r="I512" t="s">
        <v>24</v>
      </c>
      <c r="J512" t="s">
        <v>54</v>
      </c>
      <c r="K512" t="s">
        <v>175</v>
      </c>
      <c r="L512" t="s">
        <v>176</v>
      </c>
      <c r="M512" t="s">
        <v>28</v>
      </c>
      <c r="N512" t="s">
        <v>124</v>
      </c>
      <c r="O512" t="s">
        <v>1629</v>
      </c>
      <c r="P512" t="s">
        <v>31</v>
      </c>
      <c r="Q512">
        <v>2</v>
      </c>
      <c r="R512">
        <v>4238.51</v>
      </c>
      <c r="S512" s="6">
        <v>0</v>
      </c>
      <c r="T512" s="6">
        <f t="shared" si="66"/>
        <v>0</v>
      </c>
      <c r="U512">
        <v>8477.02</v>
      </c>
      <c r="V512">
        <f t="shared" si="67"/>
        <v>8477.02</v>
      </c>
      <c r="W512" s="6">
        <f t="shared" si="68"/>
        <v>0</v>
      </c>
      <c r="X512">
        <v>6884.96</v>
      </c>
      <c r="Y512">
        <v>1592.06</v>
      </c>
      <c r="Z512">
        <f t="shared" si="69"/>
        <v>1592.0600000000004</v>
      </c>
      <c r="AA512" s="6">
        <f t="shared" si="70"/>
        <v>0</v>
      </c>
      <c r="AB512">
        <f t="shared" si="71"/>
        <v>0.18780892341884298</v>
      </c>
      <c r="AC512" t="s">
        <v>32</v>
      </c>
      <c r="AD512" t="s">
        <v>33</v>
      </c>
      <c r="AE512" t="s">
        <v>2828</v>
      </c>
    </row>
    <row r="513" spans="1:32">
      <c r="A513" t="s">
        <v>1630</v>
      </c>
      <c r="B513" s="3">
        <v>45588</v>
      </c>
      <c r="C513" t="str">
        <f t="shared" si="64"/>
        <v>October</v>
      </c>
      <c r="D513">
        <f t="shared" si="65"/>
        <v>2024</v>
      </c>
      <c r="E513" s="3">
        <v>45591</v>
      </c>
      <c r="F513">
        <f t="shared" si="63"/>
        <v>3</v>
      </c>
      <c r="G513" t="s">
        <v>1631</v>
      </c>
      <c r="H513" t="s">
        <v>132</v>
      </c>
      <c r="I513" t="s">
        <v>24</v>
      </c>
      <c r="J513" t="s">
        <v>63</v>
      </c>
      <c r="K513" t="s">
        <v>72</v>
      </c>
      <c r="L513" t="s">
        <v>73</v>
      </c>
      <c r="M513" t="s">
        <v>41</v>
      </c>
      <c r="N513" t="s">
        <v>158</v>
      </c>
      <c r="O513" t="s">
        <v>1632</v>
      </c>
      <c r="P513" t="s">
        <v>59</v>
      </c>
      <c r="Q513">
        <v>9</v>
      </c>
      <c r="R513">
        <v>544.27</v>
      </c>
      <c r="S513" s="6">
        <v>0.25</v>
      </c>
      <c r="T513" s="6">
        <f t="shared" si="66"/>
        <v>0.25</v>
      </c>
      <c r="U513">
        <v>3673.82</v>
      </c>
      <c r="V513">
        <f t="shared" si="67"/>
        <v>3673.8225000000002</v>
      </c>
      <c r="W513" s="6">
        <f t="shared" si="68"/>
        <v>2.5000000000545697E-3</v>
      </c>
      <c r="X513">
        <v>2088.15</v>
      </c>
      <c r="Y513">
        <v>1585.67</v>
      </c>
      <c r="Z513">
        <f t="shared" si="69"/>
        <v>1585.6725000000001</v>
      </c>
      <c r="AA513" s="6">
        <f t="shared" si="70"/>
        <v>2.5000000000545697E-3</v>
      </c>
      <c r="AB513">
        <f t="shared" si="71"/>
        <v>0.43161380278987349</v>
      </c>
      <c r="AC513" t="s">
        <v>32</v>
      </c>
      <c r="AD513" t="s">
        <v>33</v>
      </c>
      <c r="AE513" t="s">
        <v>2828</v>
      </c>
    </row>
    <row r="514" spans="1:32">
      <c r="A514" t="s">
        <v>1633</v>
      </c>
      <c r="B514" s="3">
        <v>45718</v>
      </c>
      <c r="C514" t="str">
        <f t="shared" si="64"/>
        <v>March</v>
      </c>
      <c r="D514">
        <f t="shared" si="65"/>
        <v>2025</v>
      </c>
      <c r="E514" s="3">
        <v>45719</v>
      </c>
      <c r="F514">
        <f t="shared" ref="F514:F577" si="72">E514-B514</f>
        <v>1</v>
      </c>
      <c r="G514" t="s">
        <v>1245</v>
      </c>
      <c r="H514" t="s">
        <v>47</v>
      </c>
      <c r="I514" t="s">
        <v>90</v>
      </c>
      <c r="J514" t="s">
        <v>54</v>
      </c>
      <c r="K514" t="s">
        <v>185</v>
      </c>
      <c r="L514" t="s">
        <v>186</v>
      </c>
      <c r="M514" t="s">
        <v>28</v>
      </c>
      <c r="N514" t="s">
        <v>91</v>
      </c>
      <c r="O514" t="s">
        <v>1634</v>
      </c>
      <c r="P514" t="s">
        <v>31</v>
      </c>
      <c r="Q514">
        <v>2</v>
      </c>
      <c r="R514">
        <v>4031.45</v>
      </c>
      <c r="S514" s="6">
        <v>0.25</v>
      </c>
      <c r="T514" s="6">
        <f t="shared" si="66"/>
        <v>0.25</v>
      </c>
      <c r="U514">
        <v>6047.17</v>
      </c>
      <c r="V514">
        <f t="shared" si="67"/>
        <v>6047.1749999999993</v>
      </c>
      <c r="W514" s="6">
        <f t="shared" si="68"/>
        <v>4.9999999991996447E-3</v>
      </c>
      <c r="X514">
        <v>3368.79</v>
      </c>
      <c r="Y514">
        <v>2678.38</v>
      </c>
      <c r="Z514">
        <f t="shared" si="69"/>
        <v>2678.3849999999993</v>
      </c>
      <c r="AA514" s="6">
        <f t="shared" si="70"/>
        <v>4.9999999991996447E-3</v>
      </c>
      <c r="AB514">
        <f t="shared" si="71"/>
        <v>0.44291508018206843</v>
      </c>
      <c r="AC514" t="s">
        <v>32</v>
      </c>
      <c r="AD514" t="s">
        <v>33</v>
      </c>
      <c r="AE514" t="s">
        <v>2828</v>
      </c>
    </row>
    <row r="515" spans="1:32">
      <c r="A515" t="s">
        <v>1635</v>
      </c>
      <c r="B515" s="3">
        <v>45835</v>
      </c>
      <c r="C515" t="str">
        <f t="shared" ref="C515:C578" si="73">TEXT(B515, "mmmm")</f>
        <v>June</v>
      </c>
      <c r="D515">
        <f t="shared" ref="D515:D578" si="74">YEAR(B515)</f>
        <v>2025</v>
      </c>
      <c r="E515" s="3">
        <v>45840</v>
      </c>
      <c r="F515">
        <f t="shared" si="72"/>
        <v>5</v>
      </c>
      <c r="G515" t="s">
        <v>1636</v>
      </c>
      <c r="H515" t="s">
        <v>128</v>
      </c>
      <c r="I515" t="s">
        <v>90</v>
      </c>
      <c r="J515" t="s">
        <v>54</v>
      </c>
      <c r="K515" t="s">
        <v>185</v>
      </c>
      <c r="L515" t="s">
        <v>186</v>
      </c>
      <c r="M515" t="s">
        <v>74</v>
      </c>
      <c r="N515" t="s">
        <v>75</v>
      </c>
      <c r="O515" t="s">
        <v>1637</v>
      </c>
      <c r="P515" t="s">
        <v>50</v>
      </c>
      <c r="Q515">
        <v>6</v>
      </c>
      <c r="R515">
        <v>1099.49</v>
      </c>
      <c r="S515" s="6">
        <v>0.1</v>
      </c>
      <c r="T515" s="6">
        <f t="shared" ref="T515:T578" si="75">ABS(S515)</f>
        <v>0.1</v>
      </c>
      <c r="U515">
        <v>6212.38</v>
      </c>
      <c r="V515">
        <f t="shared" ref="V515:V578" si="76">Q515*R515*(1-T515)</f>
        <v>5937.246000000001</v>
      </c>
      <c r="W515" s="6">
        <f t="shared" ref="W515:W578" si="77">V515-U515</f>
        <v>-275.13399999999911</v>
      </c>
      <c r="X515">
        <v>4088.46</v>
      </c>
      <c r="Y515">
        <v>1848.79</v>
      </c>
      <c r="Z515">
        <f t="shared" ref="Z515:Z578" si="78">V515-X515</f>
        <v>1848.786000000001</v>
      </c>
      <c r="AA515" s="6">
        <f t="shared" ref="AA515:AA578" si="79">Z515-Y515</f>
        <v>-3.9999999989959178E-3</v>
      </c>
      <c r="AB515">
        <f t="shared" ref="AB515:AB578" si="80">Z515/V515</f>
        <v>0.31138780505304997</v>
      </c>
      <c r="AC515" t="s">
        <v>32</v>
      </c>
      <c r="AD515" t="s">
        <v>33</v>
      </c>
      <c r="AE515" t="s">
        <v>2828</v>
      </c>
    </row>
    <row r="516" spans="1:32">
      <c r="A516" t="s">
        <v>1638</v>
      </c>
      <c r="B516" s="3">
        <v>45614</v>
      </c>
      <c r="C516" t="str">
        <f t="shared" si="73"/>
        <v>November</v>
      </c>
      <c r="D516">
        <f t="shared" si="74"/>
        <v>2024</v>
      </c>
      <c r="E516" s="3">
        <v>45618</v>
      </c>
      <c r="F516">
        <f t="shared" si="72"/>
        <v>4</v>
      </c>
      <c r="G516" t="s">
        <v>1639</v>
      </c>
      <c r="H516" t="s">
        <v>23</v>
      </c>
      <c r="I516" t="s">
        <v>95</v>
      </c>
      <c r="J516" t="s">
        <v>54</v>
      </c>
      <c r="K516" t="s">
        <v>185</v>
      </c>
      <c r="L516" t="s">
        <v>186</v>
      </c>
      <c r="M516" t="s">
        <v>74</v>
      </c>
      <c r="N516" t="s">
        <v>75</v>
      </c>
      <c r="O516" t="s">
        <v>1640</v>
      </c>
      <c r="P516" t="s">
        <v>59</v>
      </c>
      <c r="Q516">
        <v>6</v>
      </c>
      <c r="R516">
        <v>3872.94</v>
      </c>
      <c r="S516" s="6">
        <v>0.1</v>
      </c>
      <c r="T516" s="6">
        <f t="shared" si="75"/>
        <v>0.1</v>
      </c>
      <c r="U516">
        <v>20913.88</v>
      </c>
      <c r="V516">
        <f t="shared" si="76"/>
        <v>20913.876</v>
      </c>
      <c r="W516" s="6">
        <f t="shared" si="77"/>
        <v>-4.0000000008149073E-3</v>
      </c>
      <c r="X516">
        <v>11684.68</v>
      </c>
      <c r="Y516">
        <v>9229.2000000000007</v>
      </c>
      <c r="Z516">
        <f t="shared" si="78"/>
        <v>9229.1959999999999</v>
      </c>
      <c r="AA516" s="6">
        <f t="shared" si="79"/>
        <v>-4.0000000008149073E-3</v>
      </c>
      <c r="AB516">
        <f t="shared" si="80"/>
        <v>0.44129533903710627</v>
      </c>
      <c r="AC516" t="s">
        <v>32</v>
      </c>
      <c r="AD516" t="s">
        <v>33</v>
      </c>
      <c r="AE516" t="s">
        <v>2828</v>
      </c>
    </row>
    <row r="517" spans="1:32">
      <c r="A517" t="s">
        <v>1641</v>
      </c>
      <c r="B517" s="3">
        <v>45758</v>
      </c>
      <c r="C517" t="str">
        <f t="shared" si="73"/>
        <v>April</v>
      </c>
      <c r="D517">
        <f t="shared" si="74"/>
        <v>2025</v>
      </c>
      <c r="E517" s="3">
        <v>45965</v>
      </c>
      <c r="F517">
        <f t="shared" si="72"/>
        <v>207</v>
      </c>
      <c r="G517" t="s">
        <v>1642</v>
      </c>
      <c r="H517" t="s">
        <v>118</v>
      </c>
      <c r="I517" t="s">
        <v>90</v>
      </c>
      <c r="J517" t="s">
        <v>25</v>
      </c>
      <c r="K517" t="s">
        <v>350</v>
      </c>
      <c r="L517" t="s">
        <v>351</v>
      </c>
      <c r="M517" t="s">
        <v>28</v>
      </c>
      <c r="N517" t="s">
        <v>29</v>
      </c>
      <c r="O517" t="s">
        <v>1643</v>
      </c>
      <c r="P517" t="s">
        <v>59</v>
      </c>
      <c r="Q517">
        <v>1</v>
      </c>
      <c r="R517">
        <v>4458.49</v>
      </c>
      <c r="S517" s="6">
        <v>-7.0000000000000007E-2</v>
      </c>
      <c r="T517" s="6">
        <f t="shared" si="75"/>
        <v>7.0000000000000007E-2</v>
      </c>
      <c r="U517">
        <v>3566.79</v>
      </c>
      <c r="V517">
        <f t="shared" si="76"/>
        <v>4146.3956999999991</v>
      </c>
      <c r="W517" s="6">
        <f t="shared" si="77"/>
        <v>579.60569999999916</v>
      </c>
      <c r="X517">
        <v>2083.41</v>
      </c>
      <c r="Y517">
        <v>1483.38</v>
      </c>
      <c r="Z517">
        <f t="shared" si="78"/>
        <v>2062.9856999999993</v>
      </c>
      <c r="AA517" s="6">
        <f t="shared" si="79"/>
        <v>579.60569999999916</v>
      </c>
      <c r="AB517">
        <f t="shared" si="80"/>
        <v>0.49753710192203793</v>
      </c>
      <c r="AC517" t="s">
        <v>32</v>
      </c>
      <c r="AD517" t="s">
        <v>33</v>
      </c>
      <c r="AE517" t="s">
        <v>2826</v>
      </c>
      <c r="AF517" s="10" t="s">
        <v>2791</v>
      </c>
    </row>
    <row r="518" spans="1:32">
      <c r="A518" t="s">
        <v>1644</v>
      </c>
      <c r="B518" s="3">
        <v>45563</v>
      </c>
      <c r="C518" t="str">
        <f t="shared" si="73"/>
        <v>September</v>
      </c>
      <c r="D518">
        <f t="shared" si="74"/>
        <v>2024</v>
      </c>
      <c r="E518" s="3">
        <v>45392</v>
      </c>
      <c r="F518">
        <f t="shared" si="72"/>
        <v>-171</v>
      </c>
      <c r="G518" t="s">
        <v>1645</v>
      </c>
      <c r="H518" t="s">
        <v>264</v>
      </c>
      <c r="I518" t="s">
        <v>95</v>
      </c>
      <c r="J518" t="s">
        <v>25</v>
      </c>
      <c r="K518" t="s">
        <v>350</v>
      </c>
      <c r="L518" t="s">
        <v>351</v>
      </c>
      <c r="M518" t="s">
        <v>74</v>
      </c>
      <c r="N518" t="s">
        <v>80</v>
      </c>
      <c r="O518" t="s">
        <v>1646</v>
      </c>
      <c r="P518" t="s">
        <v>59</v>
      </c>
      <c r="Q518">
        <v>1</v>
      </c>
      <c r="R518">
        <v>2233.1799999999998</v>
      </c>
      <c r="S518" s="6">
        <v>0</v>
      </c>
      <c r="T518" s="6">
        <f t="shared" si="75"/>
        <v>0</v>
      </c>
      <c r="U518">
        <v>2233.1799999999998</v>
      </c>
      <c r="V518">
        <f t="shared" si="76"/>
        <v>2233.1799999999998</v>
      </c>
      <c r="W518" s="6">
        <f t="shared" si="77"/>
        <v>0</v>
      </c>
      <c r="X518">
        <v>1585.82</v>
      </c>
      <c r="Y518">
        <v>647.36</v>
      </c>
      <c r="Z518">
        <f t="shared" si="78"/>
        <v>647.3599999999999</v>
      </c>
      <c r="AA518" s="6">
        <f t="shared" si="79"/>
        <v>0</v>
      </c>
      <c r="AB518">
        <f t="shared" si="80"/>
        <v>0.28988258895386843</v>
      </c>
      <c r="AC518" t="s">
        <v>155</v>
      </c>
      <c r="AD518" t="s">
        <v>103</v>
      </c>
      <c r="AE518" t="s">
        <v>2826</v>
      </c>
      <c r="AF518" s="10" t="s">
        <v>2816</v>
      </c>
    </row>
    <row r="519" spans="1:32">
      <c r="A519" t="s">
        <v>1647</v>
      </c>
      <c r="B519" s="3">
        <v>45802</v>
      </c>
      <c r="C519" t="str">
        <f t="shared" si="73"/>
        <v>May</v>
      </c>
      <c r="D519">
        <f t="shared" si="74"/>
        <v>2025</v>
      </c>
      <c r="E519" s="3">
        <v>45804</v>
      </c>
      <c r="F519">
        <f t="shared" si="72"/>
        <v>2</v>
      </c>
      <c r="G519" t="s">
        <v>1648</v>
      </c>
      <c r="H519" t="s">
        <v>118</v>
      </c>
      <c r="I519" t="s">
        <v>24</v>
      </c>
      <c r="J519" t="s">
        <v>38</v>
      </c>
      <c r="K519" t="s">
        <v>39</v>
      </c>
      <c r="L519" t="s">
        <v>40</v>
      </c>
      <c r="M519" t="s">
        <v>41</v>
      </c>
      <c r="N519" t="s">
        <v>57</v>
      </c>
      <c r="O519" t="s">
        <v>1649</v>
      </c>
      <c r="P519" t="s">
        <v>31</v>
      </c>
      <c r="Q519">
        <v>7</v>
      </c>
      <c r="R519">
        <v>2123.2800000000002</v>
      </c>
      <c r="S519" s="6">
        <v>0.2</v>
      </c>
      <c r="T519" s="6">
        <f t="shared" si="75"/>
        <v>0.2</v>
      </c>
      <c r="U519">
        <v>11890.37</v>
      </c>
      <c r="V519">
        <f t="shared" si="76"/>
        <v>11890.368000000002</v>
      </c>
      <c r="W519" s="6">
        <f t="shared" si="77"/>
        <v>-1.9999999985884642E-3</v>
      </c>
      <c r="X519">
        <v>9234.5300000000007</v>
      </c>
      <c r="Y519">
        <v>2655.84</v>
      </c>
      <c r="Z519">
        <f t="shared" si="78"/>
        <v>2655.8380000000016</v>
      </c>
      <c r="AA519" s="6">
        <f t="shared" si="79"/>
        <v>-1.9999999985884642E-3</v>
      </c>
      <c r="AB519">
        <f t="shared" si="80"/>
        <v>0.22336045444514427</v>
      </c>
      <c r="AC519" t="s">
        <v>102</v>
      </c>
      <c r="AD519" t="s">
        <v>103</v>
      </c>
      <c r="AE519" t="s">
        <v>2827</v>
      </c>
      <c r="AF519" t="s">
        <v>2807</v>
      </c>
    </row>
    <row r="520" spans="1:32">
      <c r="A520" t="s">
        <v>1650</v>
      </c>
      <c r="B520" s="3">
        <v>45777</v>
      </c>
      <c r="C520" t="str">
        <f t="shared" si="73"/>
        <v>April</v>
      </c>
      <c r="D520">
        <f t="shared" si="74"/>
        <v>2025</v>
      </c>
      <c r="E520" s="3">
        <v>45773</v>
      </c>
      <c r="F520">
        <f t="shared" si="72"/>
        <v>-4</v>
      </c>
      <c r="G520" t="s">
        <v>1651</v>
      </c>
      <c r="H520" t="s">
        <v>162</v>
      </c>
      <c r="I520" t="s">
        <v>90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t="s">
        <v>1652</v>
      </c>
      <c r="P520" t="s">
        <v>50</v>
      </c>
      <c r="Q520">
        <v>7</v>
      </c>
      <c r="R520">
        <v>1604.13</v>
      </c>
      <c r="S520" s="6">
        <v>0.25</v>
      </c>
      <c r="T520" s="6">
        <f t="shared" si="75"/>
        <v>0.25</v>
      </c>
      <c r="U520">
        <v>8421.68</v>
      </c>
      <c r="V520">
        <f t="shared" si="76"/>
        <v>8421.682499999999</v>
      </c>
      <c r="W520" s="6">
        <f t="shared" si="77"/>
        <v>2.4999999986903276E-3</v>
      </c>
      <c r="X520">
        <v>6534.47</v>
      </c>
      <c r="Y520">
        <v>1887.21</v>
      </c>
      <c r="Z520">
        <f t="shared" si="78"/>
        <v>1887.2124999999987</v>
      </c>
      <c r="AA520" s="6">
        <f t="shared" si="79"/>
        <v>2.4999999986903276E-3</v>
      </c>
      <c r="AB520">
        <f t="shared" si="80"/>
        <v>0.22408972316398759</v>
      </c>
      <c r="AC520" t="s">
        <v>32</v>
      </c>
      <c r="AD520" t="s">
        <v>68</v>
      </c>
      <c r="AE520" t="s">
        <v>2826</v>
      </c>
      <c r="AF520" s="10" t="s">
        <v>2793</v>
      </c>
    </row>
    <row r="521" spans="1:32">
      <c r="A521" t="s">
        <v>1653</v>
      </c>
      <c r="B521" s="3">
        <v>45723</v>
      </c>
      <c r="C521" t="str">
        <f t="shared" si="73"/>
        <v>March</v>
      </c>
      <c r="D521">
        <f t="shared" si="74"/>
        <v>2025</v>
      </c>
      <c r="E521" s="3">
        <v>45845</v>
      </c>
      <c r="F521">
        <f t="shared" si="72"/>
        <v>122</v>
      </c>
      <c r="G521" t="s">
        <v>1654</v>
      </c>
      <c r="H521" t="s">
        <v>114</v>
      </c>
      <c r="I521" t="s">
        <v>24</v>
      </c>
      <c r="J521" t="s">
        <v>25</v>
      </c>
      <c r="K521" t="s">
        <v>136</v>
      </c>
      <c r="L521" t="s">
        <v>137</v>
      </c>
      <c r="M521" t="s">
        <v>41</v>
      </c>
      <c r="N521" t="s">
        <v>42</v>
      </c>
      <c r="O521" t="s">
        <v>1655</v>
      </c>
      <c r="P521" t="s">
        <v>59</v>
      </c>
      <c r="Q521">
        <v>4</v>
      </c>
      <c r="R521">
        <v>4365.21</v>
      </c>
      <c r="S521" s="6">
        <v>0.2</v>
      </c>
      <c r="T521" s="6">
        <f t="shared" si="75"/>
        <v>0.2</v>
      </c>
      <c r="U521">
        <v>13968.67</v>
      </c>
      <c r="V521">
        <f t="shared" si="76"/>
        <v>13968.672</v>
      </c>
      <c r="W521" s="6">
        <f t="shared" si="77"/>
        <v>2.0000000004074536E-3</v>
      </c>
      <c r="X521">
        <v>8857.58</v>
      </c>
      <c r="Y521">
        <v>5111.09</v>
      </c>
      <c r="Z521">
        <f t="shared" si="78"/>
        <v>5111.0920000000006</v>
      </c>
      <c r="AA521" s="6">
        <f t="shared" si="79"/>
        <v>2.0000000004074536E-3</v>
      </c>
      <c r="AB521">
        <f t="shared" si="80"/>
        <v>0.36589677243477409</v>
      </c>
      <c r="AC521" t="s">
        <v>111</v>
      </c>
      <c r="AD521" t="s">
        <v>68</v>
      </c>
      <c r="AE521" t="s">
        <v>2827</v>
      </c>
      <c r="AF521" t="s">
        <v>2804</v>
      </c>
    </row>
    <row r="522" spans="1:32">
      <c r="A522" t="s">
        <v>1656</v>
      </c>
      <c r="B522" s="3">
        <v>45489</v>
      </c>
      <c r="C522" t="str">
        <f t="shared" si="73"/>
        <v>July</v>
      </c>
      <c r="D522">
        <f t="shared" si="74"/>
        <v>2024</v>
      </c>
      <c r="E522" s="3">
        <v>45496</v>
      </c>
      <c r="F522">
        <f t="shared" si="72"/>
        <v>7</v>
      </c>
      <c r="G522" t="s">
        <v>1657</v>
      </c>
      <c r="H522" t="s">
        <v>128</v>
      </c>
      <c r="I522" t="s">
        <v>95</v>
      </c>
      <c r="J522" t="s">
        <v>54</v>
      </c>
      <c r="K522" t="s">
        <v>175</v>
      </c>
      <c r="L522" t="s">
        <v>176</v>
      </c>
      <c r="M522" t="s">
        <v>74</v>
      </c>
      <c r="N522" t="s">
        <v>274</v>
      </c>
      <c r="O522" t="s">
        <v>1658</v>
      </c>
      <c r="P522" t="s">
        <v>44</v>
      </c>
      <c r="Q522">
        <v>1</v>
      </c>
      <c r="R522">
        <v>1695.91</v>
      </c>
      <c r="S522" s="6">
        <v>0.05</v>
      </c>
      <c r="T522" s="6">
        <f t="shared" si="75"/>
        <v>0.05</v>
      </c>
      <c r="U522">
        <v>1611.11</v>
      </c>
      <c r="V522">
        <f t="shared" si="76"/>
        <v>1611.1144999999999</v>
      </c>
      <c r="W522" s="6">
        <f t="shared" si="77"/>
        <v>4.500000000007276E-3</v>
      </c>
      <c r="X522">
        <v>895.15</v>
      </c>
      <c r="Y522">
        <v>715.96</v>
      </c>
      <c r="Z522">
        <f t="shared" si="78"/>
        <v>715.96449999999993</v>
      </c>
      <c r="AA522" s="6">
        <f t="shared" si="79"/>
        <v>4.4999999998935891E-3</v>
      </c>
      <c r="AB522">
        <f t="shared" si="80"/>
        <v>0.44439082386757739</v>
      </c>
      <c r="AC522" t="s">
        <v>32</v>
      </c>
      <c r="AD522" t="s">
        <v>33</v>
      </c>
      <c r="AE522" t="s">
        <v>2828</v>
      </c>
    </row>
    <row r="523" spans="1:32">
      <c r="A523" t="s">
        <v>1659</v>
      </c>
      <c r="B523" s="3">
        <v>45741</v>
      </c>
      <c r="C523" t="str">
        <f t="shared" si="73"/>
        <v>March</v>
      </c>
      <c r="D523">
        <f t="shared" si="74"/>
        <v>2025</v>
      </c>
      <c r="E523" s="3">
        <v>45661</v>
      </c>
      <c r="F523">
        <f t="shared" si="72"/>
        <v>-80</v>
      </c>
      <c r="G523" t="s">
        <v>1660</v>
      </c>
      <c r="H523" t="s">
        <v>162</v>
      </c>
      <c r="I523" t="s">
        <v>24</v>
      </c>
      <c r="J523" t="s">
        <v>25</v>
      </c>
      <c r="K523" t="s">
        <v>122</v>
      </c>
      <c r="L523" t="s">
        <v>123</v>
      </c>
      <c r="M523" t="s">
        <v>28</v>
      </c>
      <c r="N523" t="s">
        <v>91</v>
      </c>
      <c r="O523" t="s">
        <v>1661</v>
      </c>
      <c r="P523" t="s">
        <v>31</v>
      </c>
      <c r="Q523">
        <v>6</v>
      </c>
      <c r="R523">
        <v>2192.11</v>
      </c>
      <c r="S523" s="6">
        <v>0.05</v>
      </c>
      <c r="T523" s="6">
        <f t="shared" si="75"/>
        <v>0.05</v>
      </c>
      <c r="U523">
        <v>12495.03</v>
      </c>
      <c r="V523">
        <f t="shared" si="76"/>
        <v>12495.027</v>
      </c>
      <c r="W523" s="6">
        <f t="shared" si="77"/>
        <v>-3.0000000006111804E-3</v>
      </c>
      <c r="X523">
        <v>9184.52</v>
      </c>
      <c r="Y523">
        <v>3310.51</v>
      </c>
      <c r="Z523">
        <f t="shared" si="78"/>
        <v>3310.5069999999996</v>
      </c>
      <c r="AA523" s="6">
        <f t="shared" si="79"/>
        <v>-3.0000000006111804E-3</v>
      </c>
      <c r="AB523">
        <f t="shared" si="80"/>
        <v>0.26494596610315446</v>
      </c>
      <c r="AC523" t="s">
        <v>32</v>
      </c>
      <c r="AD523" t="s">
        <v>33</v>
      </c>
      <c r="AE523" t="s">
        <v>2826</v>
      </c>
      <c r="AF523" s="10" t="s">
        <v>2790</v>
      </c>
    </row>
    <row r="524" spans="1:32">
      <c r="A524" t="s">
        <v>1662</v>
      </c>
      <c r="B524" s="3">
        <v>45716</v>
      </c>
      <c r="C524" t="str">
        <f t="shared" si="73"/>
        <v>February</v>
      </c>
      <c r="D524">
        <f t="shared" si="74"/>
        <v>2025</v>
      </c>
      <c r="E524" s="3">
        <v>45872</v>
      </c>
      <c r="F524">
        <f t="shared" si="72"/>
        <v>156</v>
      </c>
      <c r="G524" t="s">
        <v>1663</v>
      </c>
      <c r="H524" t="s">
        <v>79</v>
      </c>
      <c r="I524" t="s">
        <v>37</v>
      </c>
      <c r="J524" t="s">
        <v>38</v>
      </c>
      <c r="K524" t="s">
        <v>228</v>
      </c>
      <c r="L524" t="s">
        <v>229</v>
      </c>
      <c r="M524" t="s">
        <v>74</v>
      </c>
      <c r="N524" t="s">
        <v>171</v>
      </c>
      <c r="O524" t="s">
        <v>1664</v>
      </c>
      <c r="P524" t="s">
        <v>50</v>
      </c>
      <c r="Q524">
        <v>9</v>
      </c>
      <c r="R524">
        <v>3670.54</v>
      </c>
      <c r="S524" s="6">
        <v>0</v>
      </c>
      <c r="T524" s="6">
        <f t="shared" si="75"/>
        <v>0</v>
      </c>
      <c r="U524">
        <v>33034.86</v>
      </c>
      <c r="V524">
        <f t="shared" si="76"/>
        <v>33034.86</v>
      </c>
      <c r="W524" s="6">
        <f t="shared" si="77"/>
        <v>0</v>
      </c>
      <c r="X524">
        <v>24539.83</v>
      </c>
      <c r="Y524">
        <v>8495.0300000000007</v>
      </c>
      <c r="Z524">
        <f t="shared" si="78"/>
        <v>8495.0299999999988</v>
      </c>
      <c r="AA524" s="6">
        <f t="shared" si="79"/>
        <v>0</v>
      </c>
      <c r="AB524">
        <f t="shared" si="80"/>
        <v>0.25715350390466307</v>
      </c>
      <c r="AC524" t="s">
        <v>32</v>
      </c>
      <c r="AD524" t="s">
        <v>33</v>
      </c>
      <c r="AE524" t="s">
        <v>2828</v>
      </c>
    </row>
    <row r="525" spans="1:32">
      <c r="A525" t="s">
        <v>1665</v>
      </c>
      <c r="B525" s="3">
        <v>45326</v>
      </c>
      <c r="C525" t="str">
        <f t="shared" si="73"/>
        <v>February</v>
      </c>
      <c r="D525">
        <f t="shared" si="74"/>
        <v>2024</v>
      </c>
      <c r="E525" s="3">
        <v>45355</v>
      </c>
      <c r="F525">
        <f t="shared" si="72"/>
        <v>29</v>
      </c>
      <c r="G525" t="s">
        <v>1666</v>
      </c>
      <c r="H525" t="s">
        <v>264</v>
      </c>
      <c r="I525" t="s">
        <v>95</v>
      </c>
      <c r="J525" t="s">
        <v>63</v>
      </c>
      <c r="K525" t="s">
        <v>190</v>
      </c>
      <c r="L525" t="s">
        <v>191</v>
      </c>
      <c r="M525" t="s">
        <v>28</v>
      </c>
      <c r="N525" t="s">
        <v>29</v>
      </c>
      <c r="O525" t="s">
        <v>1667</v>
      </c>
      <c r="P525" t="s">
        <v>31</v>
      </c>
      <c r="Q525">
        <v>2</v>
      </c>
      <c r="R525">
        <v>2902.63</v>
      </c>
      <c r="S525" s="6">
        <v>0</v>
      </c>
      <c r="T525" s="6">
        <f t="shared" si="75"/>
        <v>0</v>
      </c>
      <c r="U525">
        <v>5805.26</v>
      </c>
      <c r="V525">
        <f t="shared" si="76"/>
        <v>5805.26</v>
      </c>
      <c r="W525" s="6">
        <f t="shared" si="77"/>
        <v>0</v>
      </c>
      <c r="X525">
        <v>4654.3599999999997</v>
      </c>
      <c r="Y525">
        <v>1150.9000000000001</v>
      </c>
      <c r="Z525">
        <f t="shared" si="78"/>
        <v>1150.9000000000005</v>
      </c>
      <c r="AA525" s="6">
        <f t="shared" si="79"/>
        <v>0</v>
      </c>
      <c r="AB525">
        <f t="shared" si="80"/>
        <v>0.19825124111581574</v>
      </c>
      <c r="AC525" t="s">
        <v>32</v>
      </c>
      <c r="AD525" t="s">
        <v>103</v>
      </c>
      <c r="AE525" t="s">
        <v>2827</v>
      </c>
      <c r="AF525" t="s">
        <v>103</v>
      </c>
    </row>
    <row r="526" spans="1:32">
      <c r="A526" t="s">
        <v>1668</v>
      </c>
      <c r="B526" s="3">
        <v>45626</v>
      </c>
      <c r="C526" t="str">
        <f t="shared" si="73"/>
        <v>November</v>
      </c>
      <c r="D526">
        <f t="shared" si="74"/>
        <v>2024</v>
      </c>
      <c r="E526" s="3">
        <v>45303</v>
      </c>
      <c r="F526">
        <f t="shared" si="72"/>
        <v>-323</v>
      </c>
      <c r="G526" t="s">
        <v>1669</v>
      </c>
      <c r="H526" t="s">
        <v>62</v>
      </c>
      <c r="I526" t="s">
        <v>90</v>
      </c>
      <c r="J526" t="s">
        <v>63</v>
      </c>
      <c r="K526" t="s">
        <v>180</v>
      </c>
      <c r="L526" t="s">
        <v>181</v>
      </c>
      <c r="M526" t="s">
        <v>41</v>
      </c>
      <c r="N526" t="s">
        <v>66</v>
      </c>
      <c r="O526" t="s">
        <v>1670</v>
      </c>
      <c r="P526" t="s">
        <v>50</v>
      </c>
      <c r="Q526">
        <v>9</v>
      </c>
      <c r="R526">
        <v>4207.3599999999997</v>
      </c>
      <c r="S526" s="6">
        <v>0.1</v>
      </c>
      <c r="T526" s="6">
        <f t="shared" si="75"/>
        <v>0.1</v>
      </c>
      <c r="U526">
        <v>34079.620000000003</v>
      </c>
      <c r="V526">
        <f t="shared" si="76"/>
        <v>34079.616000000002</v>
      </c>
      <c r="W526" s="6">
        <f t="shared" si="77"/>
        <v>-4.0000000008149073E-3</v>
      </c>
      <c r="X526">
        <v>21871.39</v>
      </c>
      <c r="Y526">
        <v>12208.23</v>
      </c>
      <c r="Z526">
        <f t="shared" si="78"/>
        <v>12208.226000000002</v>
      </c>
      <c r="AA526" s="6">
        <f t="shared" si="79"/>
        <v>-3.9999999971769284E-3</v>
      </c>
      <c r="AB526">
        <f t="shared" si="80"/>
        <v>0.35822663025311091</v>
      </c>
      <c r="AC526" t="s">
        <v>32</v>
      </c>
      <c r="AD526" t="s">
        <v>33</v>
      </c>
      <c r="AE526" t="s">
        <v>2826</v>
      </c>
      <c r="AF526" s="10" t="s">
        <v>2790</v>
      </c>
    </row>
    <row r="527" spans="1:32">
      <c r="A527" t="s">
        <v>1671</v>
      </c>
      <c r="B527" s="3">
        <v>45582</v>
      </c>
      <c r="C527" t="str">
        <f t="shared" si="73"/>
        <v>October</v>
      </c>
      <c r="D527">
        <f t="shared" si="74"/>
        <v>2024</v>
      </c>
      <c r="E527" s="3">
        <v>45582</v>
      </c>
      <c r="F527">
        <f t="shared" si="72"/>
        <v>0</v>
      </c>
      <c r="G527" t="s">
        <v>1672</v>
      </c>
      <c r="H527" t="s">
        <v>114</v>
      </c>
      <c r="I527" t="s">
        <v>95</v>
      </c>
      <c r="J527" t="s">
        <v>38</v>
      </c>
      <c r="K527" t="s">
        <v>99</v>
      </c>
      <c r="L527" t="s">
        <v>100</v>
      </c>
      <c r="M527" t="s">
        <v>41</v>
      </c>
      <c r="N527" t="s">
        <v>66</v>
      </c>
      <c r="O527" t="s">
        <v>1673</v>
      </c>
      <c r="P527" t="s">
        <v>59</v>
      </c>
      <c r="Q527">
        <v>5</v>
      </c>
      <c r="R527">
        <v>2524.4</v>
      </c>
      <c r="S527" s="6">
        <v>0.1</v>
      </c>
      <c r="T527" s="6">
        <f t="shared" si="75"/>
        <v>0.1</v>
      </c>
      <c r="U527">
        <v>11359.8</v>
      </c>
      <c r="V527">
        <f t="shared" si="76"/>
        <v>11359.800000000001</v>
      </c>
      <c r="W527" s="6">
        <f t="shared" si="77"/>
        <v>0</v>
      </c>
      <c r="X527">
        <v>7062.44</v>
      </c>
      <c r="Y527">
        <v>4297.3599999999997</v>
      </c>
      <c r="Z527">
        <f t="shared" si="78"/>
        <v>4297.3600000000015</v>
      </c>
      <c r="AA527" s="6">
        <f t="shared" si="79"/>
        <v>0</v>
      </c>
      <c r="AB527">
        <f t="shared" si="80"/>
        <v>0.37829539252451638</v>
      </c>
      <c r="AC527" t="s">
        <v>32</v>
      </c>
      <c r="AD527" t="s">
        <v>33</v>
      </c>
      <c r="AE527" t="s">
        <v>2828</v>
      </c>
    </row>
    <row r="528" spans="1:32">
      <c r="A528" t="s">
        <v>1674</v>
      </c>
      <c r="B528" s="3">
        <v>45856</v>
      </c>
      <c r="C528" t="str">
        <f t="shared" si="73"/>
        <v>July</v>
      </c>
      <c r="D528">
        <f t="shared" si="74"/>
        <v>2025</v>
      </c>
      <c r="E528" s="3">
        <v>45859</v>
      </c>
      <c r="F528">
        <f t="shared" si="72"/>
        <v>3</v>
      </c>
      <c r="G528" t="s">
        <v>1675</v>
      </c>
      <c r="H528" t="s">
        <v>114</v>
      </c>
      <c r="I528" t="s">
        <v>24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t="s">
        <v>1676</v>
      </c>
      <c r="P528" t="s">
        <v>31</v>
      </c>
      <c r="Q528">
        <v>4</v>
      </c>
      <c r="R528">
        <v>284.04000000000002</v>
      </c>
      <c r="S528" s="6">
        <v>0</v>
      </c>
      <c r="T528" s="6">
        <f t="shared" si="75"/>
        <v>0</v>
      </c>
      <c r="U528">
        <v>908.93</v>
      </c>
      <c r="V528">
        <f t="shared" si="76"/>
        <v>1136.1600000000001</v>
      </c>
      <c r="W528" s="6">
        <f t="shared" si="77"/>
        <v>227.23000000000013</v>
      </c>
      <c r="X528">
        <v>572.08000000000004</v>
      </c>
      <c r="Y528">
        <v>336.85</v>
      </c>
      <c r="Z528">
        <f t="shared" si="78"/>
        <v>564.08000000000004</v>
      </c>
      <c r="AA528" s="6">
        <f t="shared" si="79"/>
        <v>227.23000000000002</v>
      </c>
      <c r="AB528">
        <f t="shared" si="80"/>
        <v>0.49647936910294327</v>
      </c>
      <c r="AC528" t="s">
        <v>32</v>
      </c>
      <c r="AD528" t="s">
        <v>33</v>
      </c>
      <c r="AE528" t="s">
        <v>2828</v>
      </c>
    </row>
    <row r="529" spans="1:32">
      <c r="A529" t="s">
        <v>1677</v>
      </c>
      <c r="B529" s="3">
        <v>45667</v>
      </c>
      <c r="C529" t="str">
        <f t="shared" si="73"/>
        <v>January</v>
      </c>
      <c r="D529">
        <f t="shared" si="74"/>
        <v>2025</v>
      </c>
      <c r="E529" s="3">
        <v>45787</v>
      </c>
      <c r="F529">
        <f t="shared" si="72"/>
        <v>120</v>
      </c>
      <c r="G529" t="s">
        <v>1678</v>
      </c>
      <c r="H529" t="s">
        <v>89</v>
      </c>
      <c r="I529" t="s">
        <v>95</v>
      </c>
      <c r="J529" t="s">
        <v>25</v>
      </c>
      <c r="K529" t="s">
        <v>236</v>
      </c>
      <c r="L529" t="s">
        <v>237</v>
      </c>
      <c r="M529" t="s">
        <v>28</v>
      </c>
      <c r="N529" t="s">
        <v>29</v>
      </c>
      <c r="O529" t="s">
        <v>1679</v>
      </c>
      <c r="P529" t="s">
        <v>50</v>
      </c>
      <c r="Q529">
        <v>5</v>
      </c>
      <c r="R529">
        <v>3247.56</v>
      </c>
      <c r="S529" s="6">
        <v>0.15</v>
      </c>
      <c r="T529" s="6">
        <f t="shared" si="75"/>
        <v>0.15</v>
      </c>
      <c r="U529">
        <v>13802.13</v>
      </c>
      <c r="V529">
        <f t="shared" si="76"/>
        <v>13802.13</v>
      </c>
      <c r="W529" s="6">
        <f t="shared" si="77"/>
        <v>0</v>
      </c>
      <c r="X529">
        <v>10075.93</v>
      </c>
      <c r="Y529">
        <v>3726.2</v>
      </c>
      <c r="Z529">
        <f t="shared" si="78"/>
        <v>3726.1999999999989</v>
      </c>
      <c r="AA529" s="6">
        <f t="shared" si="79"/>
        <v>0</v>
      </c>
      <c r="AB529">
        <f t="shared" si="80"/>
        <v>0.26997282303528508</v>
      </c>
      <c r="AC529" t="s">
        <v>32</v>
      </c>
      <c r="AD529" t="s">
        <v>33</v>
      </c>
      <c r="AE529" t="s">
        <v>2828</v>
      </c>
    </row>
    <row r="530" spans="1:32">
      <c r="A530" t="s">
        <v>1680</v>
      </c>
      <c r="B530" s="3">
        <v>45483</v>
      </c>
      <c r="C530" t="str">
        <f t="shared" si="73"/>
        <v>July</v>
      </c>
      <c r="D530">
        <f t="shared" si="74"/>
        <v>2024</v>
      </c>
      <c r="E530" s="3">
        <v>45545</v>
      </c>
      <c r="F530">
        <f t="shared" si="72"/>
        <v>62</v>
      </c>
      <c r="G530" t="s">
        <v>1681</v>
      </c>
      <c r="H530" t="s">
        <v>162</v>
      </c>
      <c r="I530" t="s">
        <v>24</v>
      </c>
      <c r="J530" t="s">
        <v>54</v>
      </c>
      <c r="K530" t="s">
        <v>247</v>
      </c>
      <c r="L530" t="s">
        <v>248</v>
      </c>
      <c r="M530" t="s">
        <v>28</v>
      </c>
      <c r="N530" t="s">
        <v>153</v>
      </c>
      <c r="O530" t="s">
        <v>1682</v>
      </c>
      <c r="P530" t="s">
        <v>59</v>
      </c>
      <c r="Q530">
        <v>9</v>
      </c>
      <c r="R530">
        <v>3457.09</v>
      </c>
      <c r="S530" s="6">
        <v>0.05</v>
      </c>
      <c r="T530" s="6">
        <f t="shared" si="75"/>
        <v>0.05</v>
      </c>
      <c r="U530">
        <v>29558.12</v>
      </c>
      <c r="V530">
        <f t="shared" si="76"/>
        <v>29558.119500000001</v>
      </c>
      <c r="W530" s="6">
        <f t="shared" si="77"/>
        <v>-4.99999998282874E-4</v>
      </c>
      <c r="X530">
        <v>21302.13</v>
      </c>
      <c r="Y530">
        <v>8255.99</v>
      </c>
      <c r="Z530">
        <f t="shared" si="78"/>
        <v>8255.9894999999997</v>
      </c>
      <c r="AA530" s="6">
        <f t="shared" si="79"/>
        <v>-5.0000000010186341E-4</v>
      </c>
      <c r="AB530">
        <f t="shared" si="80"/>
        <v>0.27931376013281223</v>
      </c>
      <c r="AC530" t="s">
        <v>111</v>
      </c>
      <c r="AD530" t="s">
        <v>103</v>
      </c>
      <c r="AE530" t="s">
        <v>2827</v>
      </c>
      <c r="AF530" t="s">
        <v>2814</v>
      </c>
    </row>
    <row r="531" spans="1:32">
      <c r="A531" t="s">
        <v>1683</v>
      </c>
      <c r="B531" s="3">
        <v>45445</v>
      </c>
      <c r="C531" t="str">
        <f t="shared" si="73"/>
        <v>June</v>
      </c>
      <c r="D531">
        <f t="shared" si="74"/>
        <v>2024</v>
      </c>
      <c r="E531" s="3">
        <v>45506</v>
      </c>
      <c r="F531">
        <f t="shared" si="72"/>
        <v>61</v>
      </c>
      <c r="G531" t="s">
        <v>728</v>
      </c>
      <c r="H531" t="s">
        <v>23</v>
      </c>
      <c r="I531" t="s">
        <v>24</v>
      </c>
      <c r="J531" t="s">
        <v>38</v>
      </c>
      <c r="K531" t="s">
        <v>228</v>
      </c>
      <c r="L531" t="s">
        <v>229</v>
      </c>
      <c r="M531" t="s">
        <v>41</v>
      </c>
      <c r="N531" t="s">
        <v>158</v>
      </c>
      <c r="O531" t="s">
        <v>1684</v>
      </c>
      <c r="P531" t="s">
        <v>31</v>
      </c>
      <c r="Q531">
        <v>9</v>
      </c>
      <c r="R531">
        <v>1822.25</v>
      </c>
      <c r="S531" s="6">
        <v>0</v>
      </c>
      <c r="T531" s="6">
        <f t="shared" si="75"/>
        <v>0</v>
      </c>
      <c r="U531">
        <v>16400.25</v>
      </c>
      <c r="V531">
        <f t="shared" si="76"/>
        <v>16400.25</v>
      </c>
      <c r="W531" s="6">
        <f t="shared" si="77"/>
        <v>0</v>
      </c>
      <c r="X531">
        <v>12146.96</v>
      </c>
      <c r="Y531">
        <v>4253.29</v>
      </c>
      <c r="Z531">
        <f t="shared" si="78"/>
        <v>4253.2900000000009</v>
      </c>
      <c r="AA531" s="6">
        <f t="shared" si="79"/>
        <v>0</v>
      </c>
      <c r="AB531">
        <f t="shared" si="80"/>
        <v>0.25934299782015524</v>
      </c>
      <c r="AC531" t="s">
        <v>32</v>
      </c>
      <c r="AD531" t="s">
        <v>33</v>
      </c>
      <c r="AE531" t="s">
        <v>2828</v>
      </c>
    </row>
    <row r="532" spans="1:32">
      <c r="A532" t="s">
        <v>1685</v>
      </c>
      <c r="B532" s="3">
        <v>45807</v>
      </c>
      <c r="C532" t="str">
        <f t="shared" si="73"/>
        <v>May</v>
      </c>
      <c r="D532">
        <f t="shared" si="74"/>
        <v>2025</v>
      </c>
      <c r="E532" s="3">
        <v>45663</v>
      </c>
      <c r="F532">
        <f t="shared" si="72"/>
        <v>-144</v>
      </c>
      <c r="G532" t="s">
        <v>1686</v>
      </c>
      <c r="H532" t="s">
        <v>118</v>
      </c>
      <c r="I532" t="s">
        <v>95</v>
      </c>
      <c r="J532" t="s">
        <v>54</v>
      </c>
      <c r="K532" t="s">
        <v>247</v>
      </c>
      <c r="L532" t="s">
        <v>248</v>
      </c>
      <c r="M532" t="s">
        <v>28</v>
      </c>
      <c r="N532" t="s">
        <v>153</v>
      </c>
      <c r="O532" t="s">
        <v>1687</v>
      </c>
      <c r="P532" t="s">
        <v>59</v>
      </c>
      <c r="Q532">
        <v>9</v>
      </c>
      <c r="R532">
        <v>1994.51</v>
      </c>
      <c r="S532" s="6">
        <v>0.05</v>
      </c>
      <c r="T532" s="6">
        <f t="shared" si="75"/>
        <v>0.05</v>
      </c>
      <c r="U532">
        <v>17053.060000000001</v>
      </c>
      <c r="V532">
        <f t="shared" si="76"/>
        <v>17053.0605</v>
      </c>
      <c r="W532" s="6">
        <f t="shared" si="77"/>
        <v>4.99999998282874E-4</v>
      </c>
      <c r="X532">
        <v>10742.38</v>
      </c>
      <c r="Y532">
        <v>6310.68</v>
      </c>
      <c r="Z532">
        <f t="shared" si="78"/>
        <v>6310.6805000000004</v>
      </c>
      <c r="AA532" s="6">
        <f t="shared" si="79"/>
        <v>5.0000000010186341E-4</v>
      </c>
      <c r="AB532">
        <f t="shared" si="80"/>
        <v>0.37006146198801093</v>
      </c>
      <c r="AC532" t="s">
        <v>32</v>
      </c>
      <c r="AD532" t="s">
        <v>33</v>
      </c>
      <c r="AE532" t="s">
        <v>2826</v>
      </c>
      <c r="AF532" s="10" t="s">
        <v>2790</v>
      </c>
    </row>
    <row r="533" spans="1:32">
      <c r="A533" t="s">
        <v>1688</v>
      </c>
      <c r="B533" s="3">
        <v>45299</v>
      </c>
      <c r="C533" t="str">
        <f t="shared" si="73"/>
        <v>January</v>
      </c>
      <c r="D533">
        <f t="shared" si="74"/>
        <v>2024</v>
      </c>
      <c r="E533" s="3">
        <v>45512</v>
      </c>
      <c r="F533">
        <f t="shared" si="72"/>
        <v>213</v>
      </c>
      <c r="G533" t="s">
        <v>1689</v>
      </c>
      <c r="H533" t="s">
        <v>162</v>
      </c>
      <c r="I533" t="s">
        <v>37</v>
      </c>
      <c r="J533" t="s">
        <v>63</v>
      </c>
      <c r="K533" t="s">
        <v>64</v>
      </c>
      <c r="L533" t="s">
        <v>65</v>
      </c>
      <c r="M533" t="s">
        <v>28</v>
      </c>
      <c r="N533" t="s">
        <v>124</v>
      </c>
      <c r="O533" t="s">
        <v>1690</v>
      </c>
      <c r="P533" t="s">
        <v>2781</v>
      </c>
      <c r="Q533">
        <v>1</v>
      </c>
      <c r="R533">
        <v>442.97</v>
      </c>
      <c r="S533" s="6">
        <v>0.1</v>
      </c>
      <c r="T533" s="6">
        <f t="shared" si="75"/>
        <v>0.1</v>
      </c>
      <c r="U533">
        <v>398.67</v>
      </c>
      <c r="V533">
        <f t="shared" si="76"/>
        <v>398.67300000000006</v>
      </c>
      <c r="W533" s="6">
        <f t="shared" si="77"/>
        <v>3.0000000000427463E-3</v>
      </c>
      <c r="X533">
        <v>311.66000000000003</v>
      </c>
      <c r="Y533">
        <v>87.01</v>
      </c>
      <c r="Z533">
        <f t="shared" si="78"/>
        <v>87.013000000000034</v>
      </c>
      <c r="AA533" s="6">
        <f t="shared" si="79"/>
        <v>3.0000000000285354E-3</v>
      </c>
      <c r="AB533">
        <f t="shared" si="80"/>
        <v>0.21825656615822997</v>
      </c>
      <c r="AC533" t="s">
        <v>32</v>
      </c>
      <c r="AD533" t="s">
        <v>33</v>
      </c>
      <c r="AE533" t="s">
        <v>2827</v>
      </c>
      <c r="AF533" t="s">
        <v>2829</v>
      </c>
    </row>
    <row r="534" spans="1:32">
      <c r="A534" t="s">
        <v>1691</v>
      </c>
      <c r="B534" s="3">
        <v>45787</v>
      </c>
      <c r="C534" t="str">
        <f t="shared" si="73"/>
        <v>May</v>
      </c>
      <c r="D534">
        <f t="shared" si="74"/>
        <v>2025</v>
      </c>
      <c r="E534" s="3">
        <v>45940</v>
      </c>
      <c r="F534">
        <f t="shared" si="72"/>
        <v>153</v>
      </c>
      <c r="G534" t="s">
        <v>1692</v>
      </c>
      <c r="H534" t="s">
        <v>114</v>
      </c>
      <c r="I534" t="s">
        <v>90</v>
      </c>
      <c r="J534" t="s">
        <v>38</v>
      </c>
      <c r="K534" t="s">
        <v>166</v>
      </c>
      <c r="L534" t="s">
        <v>167</v>
      </c>
      <c r="M534" t="s">
        <v>41</v>
      </c>
      <c r="N534" t="s">
        <v>42</v>
      </c>
      <c r="O534" t="s">
        <v>1693</v>
      </c>
      <c r="P534" t="s">
        <v>31</v>
      </c>
      <c r="Q534">
        <v>9</v>
      </c>
      <c r="R534">
        <v>2089.14</v>
      </c>
      <c r="S534" s="6">
        <v>0.05</v>
      </c>
      <c r="T534" s="6">
        <f t="shared" si="75"/>
        <v>0.05</v>
      </c>
      <c r="U534">
        <v>17862.150000000001</v>
      </c>
      <c r="V534">
        <f t="shared" si="76"/>
        <v>17862.146999999997</v>
      </c>
      <c r="W534" s="6">
        <f t="shared" si="77"/>
        <v>-3.0000000042491592E-3</v>
      </c>
      <c r="X534">
        <v>9892.2099999999991</v>
      </c>
      <c r="Y534">
        <v>7969.94</v>
      </c>
      <c r="Z534">
        <f t="shared" si="78"/>
        <v>7969.9369999999981</v>
      </c>
      <c r="AA534" s="6">
        <f t="shared" si="79"/>
        <v>-3.0000000015206751E-3</v>
      </c>
      <c r="AB534">
        <f t="shared" si="80"/>
        <v>0.44619143488182017</v>
      </c>
      <c r="AC534" t="s">
        <v>155</v>
      </c>
      <c r="AD534" t="s">
        <v>68</v>
      </c>
      <c r="AE534" t="s">
        <v>2827</v>
      </c>
      <c r="AF534" s="10" t="s">
        <v>2796</v>
      </c>
    </row>
    <row r="535" spans="1:32">
      <c r="A535" t="s">
        <v>1694</v>
      </c>
      <c r="B535" s="3">
        <v>45529</v>
      </c>
      <c r="C535" t="str">
        <f t="shared" si="73"/>
        <v>August</v>
      </c>
      <c r="D535">
        <f t="shared" si="74"/>
        <v>2024</v>
      </c>
      <c r="E535" s="3">
        <v>45300</v>
      </c>
      <c r="F535">
        <f t="shared" si="72"/>
        <v>-229</v>
      </c>
      <c r="G535" t="s">
        <v>1695</v>
      </c>
      <c r="H535" t="s">
        <v>47</v>
      </c>
      <c r="I535" t="s">
        <v>95</v>
      </c>
      <c r="J535" t="s">
        <v>25</v>
      </c>
      <c r="K535" t="s">
        <v>26</v>
      </c>
      <c r="L535" t="s">
        <v>27</v>
      </c>
      <c r="M535" t="s">
        <v>41</v>
      </c>
      <c r="N535" t="s">
        <v>42</v>
      </c>
      <c r="O535" t="s">
        <v>1696</v>
      </c>
      <c r="P535" t="s">
        <v>44</v>
      </c>
      <c r="Q535">
        <v>6</v>
      </c>
      <c r="R535">
        <v>481.3</v>
      </c>
      <c r="S535" s="6">
        <v>0.25</v>
      </c>
      <c r="T535" s="6">
        <f t="shared" si="75"/>
        <v>0.25</v>
      </c>
      <c r="U535">
        <v>2165.85</v>
      </c>
      <c r="V535">
        <f t="shared" si="76"/>
        <v>2165.8500000000004</v>
      </c>
      <c r="W535" s="6">
        <f t="shared" si="77"/>
        <v>0</v>
      </c>
      <c r="X535">
        <v>2124.48</v>
      </c>
      <c r="Y535">
        <v>430.45</v>
      </c>
      <c r="Z535">
        <f t="shared" si="78"/>
        <v>41.370000000000346</v>
      </c>
      <c r="AA535" s="6">
        <f t="shared" si="79"/>
        <v>-389.07999999999964</v>
      </c>
      <c r="AB535">
        <f t="shared" si="80"/>
        <v>1.91010457787937E-2</v>
      </c>
      <c r="AC535" t="s">
        <v>32</v>
      </c>
      <c r="AD535" t="s">
        <v>33</v>
      </c>
      <c r="AE535" t="s">
        <v>2826</v>
      </c>
      <c r="AF535" s="10" t="s">
        <v>2790</v>
      </c>
    </row>
    <row r="536" spans="1:32">
      <c r="A536" t="s">
        <v>1697</v>
      </c>
      <c r="B536" s="3">
        <v>45774</v>
      </c>
      <c r="C536" t="str">
        <f t="shared" si="73"/>
        <v>April</v>
      </c>
      <c r="D536">
        <f t="shared" si="74"/>
        <v>2025</v>
      </c>
      <c r="E536" s="3">
        <v>45782</v>
      </c>
      <c r="F536">
        <f t="shared" si="72"/>
        <v>8</v>
      </c>
      <c r="G536" t="s">
        <v>1698</v>
      </c>
      <c r="H536" t="s">
        <v>141</v>
      </c>
      <c r="I536" t="s">
        <v>95</v>
      </c>
      <c r="J536" t="s">
        <v>38</v>
      </c>
      <c r="K536" t="s">
        <v>145</v>
      </c>
      <c r="L536" t="s">
        <v>146</v>
      </c>
      <c r="M536" t="s">
        <v>74</v>
      </c>
      <c r="N536" t="s">
        <v>75</v>
      </c>
      <c r="O536" t="s">
        <v>1699</v>
      </c>
      <c r="P536" t="s">
        <v>31</v>
      </c>
      <c r="Q536">
        <v>4</v>
      </c>
      <c r="R536">
        <v>3963.39</v>
      </c>
      <c r="S536" s="6">
        <v>0.1</v>
      </c>
      <c r="T536" s="6">
        <f t="shared" si="75"/>
        <v>0.1</v>
      </c>
      <c r="U536">
        <v>14268.2</v>
      </c>
      <c r="V536">
        <f t="shared" si="76"/>
        <v>14268.204</v>
      </c>
      <c r="W536" s="6">
        <f t="shared" si="77"/>
        <v>3.9999999989959178E-3</v>
      </c>
      <c r="X536">
        <v>11705.3</v>
      </c>
      <c r="Y536">
        <v>2562.9</v>
      </c>
      <c r="Z536">
        <f t="shared" si="78"/>
        <v>2562.9040000000005</v>
      </c>
      <c r="AA536" s="6">
        <f t="shared" si="79"/>
        <v>4.0000000003601599E-3</v>
      </c>
      <c r="AB536">
        <f t="shared" si="80"/>
        <v>0.17962344805274724</v>
      </c>
      <c r="AC536" t="s">
        <v>111</v>
      </c>
      <c r="AD536" t="s">
        <v>103</v>
      </c>
      <c r="AE536" t="s">
        <v>2827</v>
      </c>
      <c r="AF536" t="s">
        <v>2814</v>
      </c>
    </row>
    <row r="537" spans="1:32">
      <c r="A537" t="s">
        <v>1700</v>
      </c>
      <c r="B537" s="3">
        <v>45431</v>
      </c>
      <c r="C537" t="str">
        <f t="shared" si="73"/>
        <v>May</v>
      </c>
      <c r="D537">
        <f t="shared" si="74"/>
        <v>2024</v>
      </c>
      <c r="E537" s="3">
        <v>45433</v>
      </c>
      <c r="F537">
        <f t="shared" si="72"/>
        <v>2</v>
      </c>
      <c r="G537" t="s">
        <v>1701</v>
      </c>
      <c r="H537" t="s">
        <v>162</v>
      </c>
      <c r="I537" t="s">
        <v>37</v>
      </c>
      <c r="J537" t="s">
        <v>63</v>
      </c>
      <c r="K537" t="s">
        <v>64</v>
      </c>
      <c r="L537" t="s">
        <v>65</v>
      </c>
      <c r="M537" t="s">
        <v>74</v>
      </c>
      <c r="N537" t="s">
        <v>80</v>
      </c>
      <c r="O537" t="s">
        <v>1702</v>
      </c>
      <c r="P537" t="s">
        <v>50</v>
      </c>
      <c r="Q537">
        <v>3</v>
      </c>
      <c r="R537">
        <v>4000.98</v>
      </c>
      <c r="S537" s="6">
        <v>0.2</v>
      </c>
      <c r="T537" s="6">
        <f t="shared" si="75"/>
        <v>0.2</v>
      </c>
      <c r="U537">
        <v>9602.35</v>
      </c>
      <c r="V537">
        <f t="shared" si="76"/>
        <v>9602.3520000000008</v>
      </c>
      <c r="W537" s="6">
        <f t="shared" si="77"/>
        <v>2.0000000004074536E-3</v>
      </c>
      <c r="X537">
        <v>7387.57</v>
      </c>
      <c r="Y537">
        <v>2214.7800000000002</v>
      </c>
      <c r="Z537">
        <f t="shared" si="78"/>
        <v>2214.7820000000011</v>
      </c>
      <c r="AA537" s="6">
        <f t="shared" si="79"/>
        <v>2.000000000862201E-3</v>
      </c>
      <c r="AB537">
        <f t="shared" si="80"/>
        <v>0.23064994909580494</v>
      </c>
      <c r="AC537" t="s">
        <v>32</v>
      </c>
      <c r="AD537" t="s">
        <v>33</v>
      </c>
      <c r="AE537" t="s">
        <v>2828</v>
      </c>
    </row>
    <row r="538" spans="1:32">
      <c r="A538" t="s">
        <v>1703</v>
      </c>
      <c r="B538" s="3">
        <v>45934</v>
      </c>
      <c r="C538" t="str">
        <f t="shared" si="73"/>
        <v>October</v>
      </c>
      <c r="D538">
        <f t="shared" si="74"/>
        <v>2025</v>
      </c>
      <c r="E538" s="3">
        <v>45764</v>
      </c>
      <c r="F538">
        <f t="shared" si="72"/>
        <v>-170</v>
      </c>
      <c r="G538" t="s">
        <v>1704</v>
      </c>
      <c r="H538" t="s">
        <v>62</v>
      </c>
      <c r="I538" t="s">
        <v>37</v>
      </c>
      <c r="J538" t="s">
        <v>63</v>
      </c>
      <c r="K538" t="s">
        <v>26</v>
      </c>
      <c r="L538" t="s">
        <v>109</v>
      </c>
      <c r="M538" t="s">
        <v>41</v>
      </c>
      <c r="N538" t="s">
        <v>66</v>
      </c>
      <c r="O538" t="s">
        <v>1705</v>
      </c>
      <c r="P538" t="s">
        <v>50</v>
      </c>
      <c r="Q538">
        <v>7</v>
      </c>
      <c r="R538">
        <v>3788.9</v>
      </c>
      <c r="S538" s="6">
        <v>0.25</v>
      </c>
      <c r="T538" s="6">
        <f t="shared" si="75"/>
        <v>0.25</v>
      </c>
      <c r="U538">
        <v>19891.72</v>
      </c>
      <c r="V538">
        <f t="shared" si="76"/>
        <v>19891.724999999999</v>
      </c>
      <c r="W538" s="6">
        <f t="shared" si="77"/>
        <v>4.9999999973806553E-3</v>
      </c>
      <c r="X538">
        <v>12295.76</v>
      </c>
      <c r="Y538">
        <v>7595.96</v>
      </c>
      <c r="Z538">
        <f t="shared" si="78"/>
        <v>7595.9649999999983</v>
      </c>
      <c r="AA538" s="6">
        <f t="shared" si="79"/>
        <v>4.99999999829015E-3</v>
      </c>
      <c r="AB538">
        <f t="shared" si="80"/>
        <v>0.38186557475533162</v>
      </c>
      <c r="AC538" t="s">
        <v>155</v>
      </c>
      <c r="AD538" t="s">
        <v>68</v>
      </c>
      <c r="AE538" t="s">
        <v>2826</v>
      </c>
      <c r="AF538" s="10" t="s">
        <v>2798</v>
      </c>
    </row>
    <row r="539" spans="1:32">
      <c r="A539" t="s">
        <v>1706</v>
      </c>
      <c r="B539" s="3">
        <v>45313</v>
      </c>
      <c r="C539" t="str">
        <f t="shared" si="73"/>
        <v>January</v>
      </c>
      <c r="D539">
        <f t="shared" si="74"/>
        <v>2024</v>
      </c>
      <c r="E539" s="3">
        <v>45321</v>
      </c>
      <c r="F539">
        <f t="shared" si="72"/>
        <v>8</v>
      </c>
      <c r="G539" t="s">
        <v>1707</v>
      </c>
      <c r="H539" t="s">
        <v>62</v>
      </c>
      <c r="I539" t="s">
        <v>37</v>
      </c>
      <c r="J539" t="s">
        <v>25</v>
      </c>
      <c r="K539" t="s">
        <v>236</v>
      </c>
      <c r="L539" t="s">
        <v>237</v>
      </c>
      <c r="M539" t="s">
        <v>28</v>
      </c>
      <c r="N539" t="s">
        <v>48</v>
      </c>
      <c r="O539" t="s">
        <v>1708</v>
      </c>
      <c r="P539" t="s">
        <v>44</v>
      </c>
      <c r="Q539">
        <v>3</v>
      </c>
      <c r="R539">
        <v>676.37</v>
      </c>
      <c r="S539" s="6">
        <v>0.05</v>
      </c>
      <c r="T539" s="6">
        <f t="shared" si="75"/>
        <v>0.05</v>
      </c>
      <c r="U539">
        <v>1927.65</v>
      </c>
      <c r="V539">
        <f t="shared" si="76"/>
        <v>1927.6545000000001</v>
      </c>
      <c r="W539" s="6">
        <f t="shared" si="77"/>
        <v>4.500000000007276E-3</v>
      </c>
      <c r="X539">
        <v>1460.6</v>
      </c>
      <c r="Y539">
        <v>467.05</v>
      </c>
      <c r="Z539">
        <f t="shared" si="78"/>
        <v>467.05450000000019</v>
      </c>
      <c r="AA539" s="6">
        <f t="shared" si="79"/>
        <v>4.5000000001778062E-3</v>
      </c>
      <c r="AB539">
        <f t="shared" si="80"/>
        <v>0.24229160360427668</v>
      </c>
      <c r="AC539" t="s">
        <v>155</v>
      </c>
      <c r="AD539" t="s">
        <v>68</v>
      </c>
      <c r="AE539" t="s">
        <v>2827</v>
      </c>
      <c r="AF539" s="10" t="s">
        <v>2796</v>
      </c>
    </row>
    <row r="540" spans="1:32">
      <c r="A540" t="s">
        <v>1709</v>
      </c>
      <c r="B540" s="3">
        <v>45560</v>
      </c>
      <c r="C540" t="str">
        <f t="shared" si="73"/>
        <v>September</v>
      </c>
      <c r="D540">
        <f t="shared" si="74"/>
        <v>2024</v>
      </c>
      <c r="E540" s="3">
        <v>45301</v>
      </c>
      <c r="F540">
        <f t="shared" si="72"/>
        <v>-259</v>
      </c>
      <c r="G540" t="s">
        <v>1710</v>
      </c>
      <c r="H540" t="s">
        <v>162</v>
      </c>
      <c r="I540" t="s">
        <v>37</v>
      </c>
      <c r="J540" t="s">
        <v>38</v>
      </c>
      <c r="K540" t="s">
        <v>228</v>
      </c>
      <c r="L540" t="s">
        <v>229</v>
      </c>
      <c r="M540" t="s">
        <v>41</v>
      </c>
      <c r="N540" t="s">
        <v>42</v>
      </c>
      <c r="O540" t="s">
        <v>1711</v>
      </c>
      <c r="P540" t="s">
        <v>31</v>
      </c>
      <c r="Q540">
        <v>9</v>
      </c>
      <c r="R540">
        <v>3908.6</v>
      </c>
      <c r="S540" s="6">
        <v>0.15</v>
      </c>
      <c r="T540" s="6">
        <f t="shared" si="75"/>
        <v>0.15</v>
      </c>
      <c r="U540">
        <v>29900.79</v>
      </c>
      <c r="V540">
        <f t="shared" si="76"/>
        <v>29900.79</v>
      </c>
      <c r="W540" s="6">
        <f t="shared" si="77"/>
        <v>0</v>
      </c>
      <c r="X540">
        <v>24650.67</v>
      </c>
      <c r="Y540">
        <v>5250.12</v>
      </c>
      <c r="Z540">
        <f t="shared" si="78"/>
        <v>5250.1200000000026</v>
      </c>
      <c r="AA540" s="6">
        <f t="shared" si="79"/>
        <v>0</v>
      </c>
      <c r="AB540">
        <f t="shared" si="80"/>
        <v>0.17558465846554563</v>
      </c>
      <c r="AC540" t="s">
        <v>32</v>
      </c>
      <c r="AD540" t="s">
        <v>33</v>
      </c>
      <c r="AE540" t="s">
        <v>2826</v>
      </c>
      <c r="AF540" s="10" t="s">
        <v>2790</v>
      </c>
    </row>
    <row r="541" spans="1:32">
      <c r="A541" t="s">
        <v>1712</v>
      </c>
      <c r="B541" s="3">
        <v>45842</v>
      </c>
      <c r="C541" t="str">
        <f t="shared" si="73"/>
        <v>July</v>
      </c>
      <c r="D541">
        <f t="shared" si="74"/>
        <v>2025</v>
      </c>
      <c r="E541" s="3">
        <v>45754</v>
      </c>
      <c r="F541">
        <f t="shared" si="72"/>
        <v>-88</v>
      </c>
      <c r="G541" t="s">
        <v>1713</v>
      </c>
      <c r="H541" t="s">
        <v>36</v>
      </c>
      <c r="I541" t="s">
        <v>37</v>
      </c>
      <c r="J541" t="s">
        <v>54</v>
      </c>
      <c r="K541" t="s">
        <v>247</v>
      </c>
      <c r="L541" t="s">
        <v>248</v>
      </c>
      <c r="M541" t="s">
        <v>41</v>
      </c>
      <c r="N541" t="s">
        <v>66</v>
      </c>
      <c r="O541" t="s">
        <v>1714</v>
      </c>
      <c r="P541" t="s">
        <v>59</v>
      </c>
      <c r="Q541">
        <v>3</v>
      </c>
      <c r="R541">
        <v>705.35</v>
      </c>
      <c r="S541" s="6">
        <v>0.1</v>
      </c>
      <c r="T541" s="6">
        <f t="shared" si="75"/>
        <v>0.1</v>
      </c>
      <c r="U541">
        <v>1904.45</v>
      </c>
      <c r="V541">
        <f t="shared" si="76"/>
        <v>1904.4450000000002</v>
      </c>
      <c r="W541" s="6">
        <f t="shared" si="77"/>
        <v>-4.9999999998817657E-3</v>
      </c>
      <c r="X541">
        <v>1316.54</v>
      </c>
      <c r="Y541">
        <v>587.91</v>
      </c>
      <c r="Z541">
        <f t="shared" si="78"/>
        <v>587.9050000000002</v>
      </c>
      <c r="AA541" s="6">
        <f t="shared" si="79"/>
        <v>-4.9999999997680789E-3</v>
      </c>
      <c r="AB541">
        <f t="shared" si="80"/>
        <v>0.30870148520960183</v>
      </c>
      <c r="AC541" t="s">
        <v>32</v>
      </c>
      <c r="AD541" t="s">
        <v>68</v>
      </c>
      <c r="AE541" t="s">
        <v>2826</v>
      </c>
      <c r="AF541" s="10" t="s">
        <v>2793</v>
      </c>
    </row>
    <row r="542" spans="1:32">
      <c r="A542" t="s">
        <v>1715</v>
      </c>
      <c r="B542" s="3">
        <v>45348</v>
      </c>
      <c r="C542" t="str">
        <f t="shared" si="73"/>
        <v>February</v>
      </c>
      <c r="D542">
        <f t="shared" si="74"/>
        <v>2024</v>
      </c>
      <c r="E542" s="3">
        <v>45345</v>
      </c>
      <c r="F542">
        <f t="shared" si="72"/>
        <v>-3</v>
      </c>
      <c r="G542" t="s">
        <v>1716</v>
      </c>
      <c r="H542" t="s">
        <v>264</v>
      </c>
      <c r="I542" t="s">
        <v>24</v>
      </c>
      <c r="J542" t="s">
        <v>63</v>
      </c>
      <c r="K542" t="s">
        <v>180</v>
      </c>
      <c r="L542" t="s">
        <v>181</v>
      </c>
      <c r="M542" t="s">
        <v>41</v>
      </c>
      <c r="N542" t="s">
        <v>57</v>
      </c>
      <c r="O542" t="s">
        <v>1717</v>
      </c>
      <c r="P542" t="s">
        <v>59</v>
      </c>
      <c r="Q542">
        <v>7</v>
      </c>
      <c r="R542">
        <v>3852.07</v>
      </c>
      <c r="S542" s="6">
        <v>0.2</v>
      </c>
      <c r="T542" s="6">
        <f t="shared" si="75"/>
        <v>0.2</v>
      </c>
      <c r="U542">
        <v>21571.59</v>
      </c>
      <c r="V542">
        <f t="shared" si="76"/>
        <v>21571.592000000004</v>
      </c>
      <c r="W542" s="6">
        <f t="shared" si="77"/>
        <v>2.0000000040454324E-3</v>
      </c>
      <c r="X542">
        <v>17118.07</v>
      </c>
      <c r="Y542">
        <v>4453.5200000000004</v>
      </c>
      <c r="Z542">
        <f t="shared" si="78"/>
        <v>4453.5220000000045</v>
      </c>
      <c r="AA542" s="6">
        <f t="shared" si="79"/>
        <v>2.0000000040454324E-3</v>
      </c>
      <c r="AB542">
        <f t="shared" si="80"/>
        <v>0.20645309813017063</v>
      </c>
      <c r="AC542" t="s">
        <v>32</v>
      </c>
      <c r="AD542" t="s">
        <v>33</v>
      </c>
      <c r="AE542" t="s">
        <v>2826</v>
      </c>
      <c r="AF542" s="10" t="s">
        <v>2790</v>
      </c>
    </row>
    <row r="543" spans="1:32">
      <c r="A543" t="s">
        <v>1718</v>
      </c>
      <c r="B543" s="3">
        <v>45876</v>
      </c>
      <c r="C543" t="str">
        <f t="shared" si="73"/>
        <v>August</v>
      </c>
      <c r="D543">
        <f t="shared" si="74"/>
        <v>2025</v>
      </c>
      <c r="E543" s="3">
        <v>45907</v>
      </c>
      <c r="F543">
        <f t="shared" si="72"/>
        <v>31</v>
      </c>
      <c r="G543" t="s">
        <v>1719</v>
      </c>
      <c r="H543" t="s">
        <v>132</v>
      </c>
      <c r="I543" t="s">
        <v>24</v>
      </c>
      <c r="J543" t="s">
        <v>63</v>
      </c>
      <c r="K543" t="s">
        <v>64</v>
      </c>
      <c r="L543" t="s">
        <v>65</v>
      </c>
      <c r="M543" t="s">
        <v>74</v>
      </c>
      <c r="N543" t="s">
        <v>80</v>
      </c>
      <c r="O543" t="s">
        <v>1720</v>
      </c>
      <c r="P543" t="s">
        <v>44</v>
      </c>
      <c r="Q543">
        <v>3</v>
      </c>
      <c r="R543">
        <v>2880.56</v>
      </c>
      <c r="S543" s="6">
        <v>0</v>
      </c>
      <c r="T543" s="6">
        <f t="shared" si="75"/>
        <v>0</v>
      </c>
      <c r="U543">
        <v>8641.68</v>
      </c>
      <c r="V543">
        <f t="shared" si="76"/>
        <v>8641.68</v>
      </c>
      <c r="W543" s="6">
        <f t="shared" si="77"/>
        <v>0</v>
      </c>
      <c r="X543">
        <v>5747.09</v>
      </c>
      <c r="Y543">
        <v>2894.59</v>
      </c>
      <c r="Z543">
        <f t="shared" si="78"/>
        <v>2894.59</v>
      </c>
      <c r="AA543" s="6">
        <f t="shared" si="79"/>
        <v>0</v>
      </c>
      <c r="AB543">
        <f t="shared" si="80"/>
        <v>0.33495686024013849</v>
      </c>
      <c r="AC543" t="s">
        <v>32</v>
      </c>
      <c r="AD543" t="s">
        <v>103</v>
      </c>
      <c r="AE543" t="s">
        <v>2827</v>
      </c>
      <c r="AF543" t="s">
        <v>103</v>
      </c>
    </row>
    <row r="544" spans="1:32">
      <c r="A544" t="s">
        <v>1721</v>
      </c>
      <c r="B544" s="3">
        <v>45552</v>
      </c>
      <c r="C544" t="str">
        <f t="shared" si="73"/>
        <v>September</v>
      </c>
      <c r="D544">
        <f t="shared" si="74"/>
        <v>2024</v>
      </c>
      <c r="E544" s="3">
        <v>45558</v>
      </c>
      <c r="F544">
        <f t="shared" si="72"/>
        <v>6</v>
      </c>
      <c r="G544" t="s">
        <v>1722</v>
      </c>
      <c r="H544" t="s">
        <v>118</v>
      </c>
      <c r="I544" t="s">
        <v>95</v>
      </c>
      <c r="J544" t="s">
        <v>54</v>
      </c>
      <c r="K544" t="s">
        <v>185</v>
      </c>
      <c r="L544" t="s">
        <v>186</v>
      </c>
      <c r="M544" t="s">
        <v>41</v>
      </c>
      <c r="N544" t="s">
        <v>158</v>
      </c>
      <c r="O544" t="s">
        <v>1723</v>
      </c>
      <c r="P544" t="s">
        <v>31</v>
      </c>
      <c r="Q544">
        <v>3</v>
      </c>
      <c r="R544">
        <v>4067.62</v>
      </c>
      <c r="S544" s="6">
        <v>0.2</v>
      </c>
      <c r="T544" s="6">
        <f t="shared" si="75"/>
        <v>0.2</v>
      </c>
      <c r="U544">
        <v>9988.5300000000007</v>
      </c>
      <c r="V544">
        <f t="shared" si="76"/>
        <v>9762.2880000000005</v>
      </c>
      <c r="W544" s="6">
        <f t="shared" si="77"/>
        <v>-226.24200000000019</v>
      </c>
      <c r="X544">
        <v>8368.24</v>
      </c>
      <c r="Y544">
        <v>1394.05</v>
      </c>
      <c r="Z544">
        <f t="shared" si="78"/>
        <v>1394.0480000000007</v>
      </c>
      <c r="AA544" s="6">
        <f t="shared" si="79"/>
        <v>-1.9999999992705852E-3</v>
      </c>
      <c r="AB544">
        <f t="shared" si="80"/>
        <v>0.14279931098119628</v>
      </c>
      <c r="AC544" t="s">
        <v>32</v>
      </c>
      <c r="AD544" t="s">
        <v>68</v>
      </c>
      <c r="AE544" t="s">
        <v>2827</v>
      </c>
      <c r="AF544" t="s">
        <v>2795</v>
      </c>
    </row>
    <row r="545" spans="1:32">
      <c r="A545" t="s">
        <v>1724</v>
      </c>
      <c r="B545" s="3">
        <v>45487</v>
      </c>
      <c r="C545" t="str">
        <f t="shared" si="73"/>
        <v>July</v>
      </c>
      <c r="D545">
        <f t="shared" si="74"/>
        <v>2024</v>
      </c>
      <c r="E545" s="3">
        <v>45493</v>
      </c>
      <c r="F545">
        <f t="shared" si="72"/>
        <v>6</v>
      </c>
      <c r="G545" t="s">
        <v>1725</v>
      </c>
      <c r="H545" t="s">
        <v>36</v>
      </c>
      <c r="I545" t="s">
        <v>24</v>
      </c>
      <c r="J545" t="s">
        <v>38</v>
      </c>
      <c r="K545" t="s">
        <v>145</v>
      </c>
      <c r="L545" t="s">
        <v>146</v>
      </c>
      <c r="M545" t="s">
        <v>74</v>
      </c>
      <c r="N545" t="s">
        <v>80</v>
      </c>
      <c r="O545" t="s">
        <v>1726</v>
      </c>
      <c r="P545" t="s">
        <v>44</v>
      </c>
      <c r="Q545">
        <v>1</v>
      </c>
      <c r="R545">
        <v>492.67</v>
      </c>
      <c r="S545" s="6">
        <v>0.15</v>
      </c>
      <c r="T545" s="6">
        <f t="shared" si="75"/>
        <v>0.15</v>
      </c>
      <c r="U545">
        <v>418.77</v>
      </c>
      <c r="V545">
        <f t="shared" si="76"/>
        <v>418.76949999999999</v>
      </c>
      <c r="W545" s="6">
        <f t="shared" si="77"/>
        <v>-4.9999999998817657E-4</v>
      </c>
      <c r="X545">
        <v>313.72000000000003</v>
      </c>
      <c r="Y545">
        <v>105.05</v>
      </c>
      <c r="Z545">
        <f t="shared" si="78"/>
        <v>105.04949999999997</v>
      </c>
      <c r="AA545" s="6">
        <f t="shared" si="79"/>
        <v>-5.0000000003080913E-4</v>
      </c>
      <c r="AB545">
        <f t="shared" si="80"/>
        <v>0.25085279610859906</v>
      </c>
      <c r="AC545" t="s">
        <v>32</v>
      </c>
      <c r="AD545" t="s">
        <v>33</v>
      </c>
      <c r="AE545" t="s">
        <v>2828</v>
      </c>
    </row>
    <row r="546" spans="1:32">
      <c r="A546" t="s">
        <v>1727</v>
      </c>
      <c r="B546" s="3">
        <v>45686</v>
      </c>
      <c r="C546" t="str">
        <f t="shared" si="73"/>
        <v>January</v>
      </c>
      <c r="D546">
        <f t="shared" si="74"/>
        <v>2025</v>
      </c>
      <c r="E546" s="3">
        <v>45693</v>
      </c>
      <c r="F546">
        <f t="shared" si="72"/>
        <v>7</v>
      </c>
      <c r="G546" t="s">
        <v>1728</v>
      </c>
      <c r="H546" t="s">
        <v>62</v>
      </c>
      <c r="I546" t="s">
        <v>24</v>
      </c>
      <c r="J546" t="s">
        <v>54</v>
      </c>
      <c r="K546" t="s">
        <v>185</v>
      </c>
      <c r="L546" t="s">
        <v>186</v>
      </c>
      <c r="M546" t="s">
        <v>28</v>
      </c>
      <c r="N546" t="s">
        <v>48</v>
      </c>
      <c r="O546" t="s">
        <v>1729</v>
      </c>
      <c r="P546" t="s">
        <v>44</v>
      </c>
      <c r="Q546">
        <v>8</v>
      </c>
      <c r="R546">
        <v>3643.62</v>
      </c>
      <c r="S546" s="6">
        <v>0.25</v>
      </c>
      <c r="T546" s="6">
        <f t="shared" si="75"/>
        <v>0.25</v>
      </c>
      <c r="U546">
        <v>21861.72</v>
      </c>
      <c r="V546">
        <f t="shared" si="76"/>
        <v>21861.72</v>
      </c>
      <c r="W546" s="6">
        <f t="shared" si="77"/>
        <v>0</v>
      </c>
      <c r="X546">
        <v>18464.34</v>
      </c>
      <c r="Y546">
        <v>3397.38</v>
      </c>
      <c r="Z546">
        <f t="shared" si="78"/>
        <v>3397.380000000001</v>
      </c>
      <c r="AA546" s="6">
        <f t="shared" si="79"/>
        <v>0</v>
      </c>
      <c r="AB546">
        <f t="shared" si="80"/>
        <v>0.1554031430280875</v>
      </c>
      <c r="AC546" t="s">
        <v>32</v>
      </c>
      <c r="AD546" t="s">
        <v>68</v>
      </c>
      <c r="AE546" t="s">
        <v>2827</v>
      </c>
      <c r="AF546" t="s">
        <v>2795</v>
      </c>
    </row>
    <row r="547" spans="1:32">
      <c r="A547" t="s">
        <v>1730</v>
      </c>
      <c r="B547" s="3">
        <v>45439</v>
      </c>
      <c r="C547" t="str">
        <f t="shared" si="73"/>
        <v>May</v>
      </c>
      <c r="D547">
        <f t="shared" si="74"/>
        <v>2024</v>
      </c>
      <c r="E547" s="3">
        <v>45442</v>
      </c>
      <c r="F547">
        <f t="shared" si="72"/>
        <v>3</v>
      </c>
      <c r="G547" t="s">
        <v>1731</v>
      </c>
      <c r="H547" t="s">
        <v>264</v>
      </c>
      <c r="I547" t="s">
        <v>37</v>
      </c>
      <c r="J547" t="s">
        <v>38</v>
      </c>
      <c r="K547" t="s">
        <v>228</v>
      </c>
      <c r="L547" t="s">
        <v>229</v>
      </c>
      <c r="M547" t="s">
        <v>28</v>
      </c>
      <c r="N547" t="s">
        <v>124</v>
      </c>
      <c r="O547" t="s">
        <v>1732</v>
      </c>
      <c r="P547" t="s">
        <v>44</v>
      </c>
      <c r="Q547">
        <v>7</v>
      </c>
      <c r="R547">
        <v>2900.86</v>
      </c>
      <c r="S547" s="6">
        <v>0.15</v>
      </c>
      <c r="T547" s="6">
        <f t="shared" si="75"/>
        <v>0.15</v>
      </c>
      <c r="U547">
        <v>17260.12</v>
      </c>
      <c r="V547">
        <f t="shared" si="76"/>
        <v>17260.116999999998</v>
      </c>
      <c r="W547" s="6">
        <f t="shared" si="77"/>
        <v>-3.0000000006111804E-3</v>
      </c>
      <c r="X547">
        <v>13513.51</v>
      </c>
      <c r="Y547">
        <v>3746.61</v>
      </c>
      <c r="Z547">
        <f t="shared" si="78"/>
        <v>3746.6069999999982</v>
      </c>
      <c r="AA547" s="6">
        <f t="shared" si="79"/>
        <v>-3.0000000019754225E-3</v>
      </c>
      <c r="AB547">
        <f t="shared" si="80"/>
        <v>0.21706730029697935</v>
      </c>
      <c r="AC547" t="s">
        <v>32</v>
      </c>
      <c r="AD547" t="s">
        <v>33</v>
      </c>
      <c r="AE547" t="s">
        <v>2828</v>
      </c>
    </row>
    <row r="548" spans="1:32">
      <c r="A548" t="s">
        <v>1733</v>
      </c>
      <c r="B548" s="3">
        <v>45883</v>
      </c>
      <c r="C548" t="str">
        <f t="shared" si="73"/>
        <v>August</v>
      </c>
      <c r="D548">
        <f t="shared" si="74"/>
        <v>2025</v>
      </c>
      <c r="E548" s="3">
        <v>45891</v>
      </c>
      <c r="F548">
        <f t="shared" si="72"/>
        <v>8</v>
      </c>
      <c r="G548" t="s">
        <v>1734</v>
      </c>
      <c r="H548" t="s">
        <v>53</v>
      </c>
      <c r="I548" t="s">
        <v>90</v>
      </c>
      <c r="J548" t="s">
        <v>63</v>
      </c>
      <c r="K548" t="s">
        <v>180</v>
      </c>
      <c r="L548" t="s">
        <v>181</v>
      </c>
      <c r="M548" t="s">
        <v>28</v>
      </c>
      <c r="N548" t="s">
        <v>29</v>
      </c>
      <c r="O548" t="s">
        <v>1735</v>
      </c>
      <c r="P548" t="s">
        <v>50</v>
      </c>
      <c r="Q548">
        <v>5</v>
      </c>
      <c r="R548">
        <v>2567.37</v>
      </c>
      <c r="S548" s="6">
        <v>0.15</v>
      </c>
      <c r="T548" s="6">
        <f t="shared" si="75"/>
        <v>0.15</v>
      </c>
      <c r="U548">
        <v>10911.32</v>
      </c>
      <c r="V548">
        <f t="shared" si="76"/>
        <v>10911.322499999998</v>
      </c>
      <c r="W548" s="6">
        <f t="shared" si="77"/>
        <v>2.4999999986903276E-3</v>
      </c>
      <c r="X548">
        <v>6966.44</v>
      </c>
      <c r="Y548">
        <v>4395.17</v>
      </c>
      <c r="Z548">
        <f t="shared" si="78"/>
        <v>3944.8824999999988</v>
      </c>
      <c r="AA548" s="6">
        <f t="shared" si="79"/>
        <v>-450.28750000000127</v>
      </c>
      <c r="AB548">
        <f t="shared" si="80"/>
        <v>0.36154027158486052</v>
      </c>
      <c r="AC548" t="s">
        <v>32</v>
      </c>
      <c r="AD548" t="s">
        <v>33</v>
      </c>
      <c r="AE548" t="s">
        <v>2828</v>
      </c>
    </row>
    <row r="549" spans="1:32">
      <c r="A549" t="s">
        <v>1736</v>
      </c>
      <c r="B549" s="3">
        <v>45428</v>
      </c>
      <c r="C549" t="str">
        <f t="shared" si="73"/>
        <v>May</v>
      </c>
      <c r="D549">
        <f t="shared" si="74"/>
        <v>2024</v>
      </c>
      <c r="E549" s="3">
        <v>45435</v>
      </c>
      <c r="F549">
        <f t="shared" si="72"/>
        <v>7</v>
      </c>
      <c r="G549" t="s">
        <v>1737</v>
      </c>
      <c r="H549" t="s">
        <v>79</v>
      </c>
      <c r="I549" t="s">
        <v>37</v>
      </c>
      <c r="J549" t="s">
        <v>25</v>
      </c>
      <c r="K549" t="s">
        <v>136</v>
      </c>
      <c r="L549" t="s">
        <v>137</v>
      </c>
      <c r="M549" t="s">
        <v>74</v>
      </c>
      <c r="N549" t="s">
        <v>80</v>
      </c>
      <c r="O549" t="s">
        <v>1738</v>
      </c>
      <c r="P549" t="s">
        <v>59</v>
      </c>
      <c r="Q549">
        <v>9</v>
      </c>
      <c r="R549">
        <v>3722.09</v>
      </c>
      <c r="S549" s="6">
        <v>0.1</v>
      </c>
      <c r="T549" s="6">
        <f t="shared" si="75"/>
        <v>0.1</v>
      </c>
      <c r="U549">
        <v>30148.93</v>
      </c>
      <c r="V549">
        <f t="shared" si="76"/>
        <v>30148.929</v>
      </c>
      <c r="W549" s="6">
        <f t="shared" si="77"/>
        <v>-1.0000000002037268E-3</v>
      </c>
      <c r="X549">
        <v>25155.07</v>
      </c>
      <c r="Y549">
        <v>4993.8599999999997</v>
      </c>
      <c r="Z549">
        <f t="shared" si="78"/>
        <v>4993.8590000000004</v>
      </c>
      <c r="AA549" s="6">
        <f t="shared" si="79"/>
        <v>-9.9999999929423211E-4</v>
      </c>
      <c r="AB549">
        <f t="shared" si="80"/>
        <v>0.16563968159532302</v>
      </c>
      <c r="AC549" t="s">
        <v>32</v>
      </c>
      <c r="AD549" t="s">
        <v>33</v>
      </c>
      <c r="AE549" t="s">
        <v>2828</v>
      </c>
    </row>
    <row r="550" spans="1:32">
      <c r="A550" t="s">
        <v>1739</v>
      </c>
      <c r="B550" s="3">
        <v>45441</v>
      </c>
      <c r="C550" t="str">
        <f t="shared" si="73"/>
        <v>May</v>
      </c>
      <c r="D550">
        <f t="shared" si="74"/>
        <v>2024</v>
      </c>
      <c r="E550" s="3">
        <v>45441</v>
      </c>
      <c r="F550">
        <f t="shared" si="72"/>
        <v>0</v>
      </c>
      <c r="G550" t="s">
        <v>1740</v>
      </c>
      <c r="H550" t="s">
        <v>141</v>
      </c>
      <c r="I550" t="s">
        <v>90</v>
      </c>
      <c r="J550" t="s">
        <v>38</v>
      </c>
      <c r="K550" t="s">
        <v>145</v>
      </c>
      <c r="L550" t="s">
        <v>146</v>
      </c>
      <c r="M550" t="s">
        <v>41</v>
      </c>
      <c r="N550" t="s">
        <v>158</v>
      </c>
      <c r="O550" t="s">
        <v>1741</v>
      </c>
      <c r="P550" t="s">
        <v>44</v>
      </c>
      <c r="Q550">
        <v>1</v>
      </c>
      <c r="R550">
        <v>1072.01</v>
      </c>
      <c r="S550" s="6">
        <v>0</v>
      </c>
      <c r="T550" s="6">
        <f t="shared" si="75"/>
        <v>0</v>
      </c>
      <c r="U550">
        <v>1072.01</v>
      </c>
      <c r="V550">
        <f t="shared" si="76"/>
        <v>1072.01</v>
      </c>
      <c r="W550" s="6">
        <f t="shared" si="77"/>
        <v>0</v>
      </c>
      <c r="X550">
        <v>852.62</v>
      </c>
      <c r="Y550">
        <v>219.39</v>
      </c>
      <c r="Z550">
        <f t="shared" si="78"/>
        <v>219.39</v>
      </c>
      <c r="AA550" s="6">
        <f t="shared" si="79"/>
        <v>0</v>
      </c>
      <c r="AB550">
        <f t="shared" si="80"/>
        <v>0.20465294167032022</v>
      </c>
      <c r="AC550" t="s">
        <v>111</v>
      </c>
      <c r="AD550" t="s">
        <v>68</v>
      </c>
      <c r="AE550" t="s">
        <v>2827</v>
      </c>
      <c r="AF550" t="s">
        <v>2804</v>
      </c>
    </row>
    <row r="551" spans="1:32">
      <c r="A551" t="s">
        <v>1742</v>
      </c>
      <c r="B551" s="3">
        <v>45941</v>
      </c>
      <c r="C551" t="str">
        <f t="shared" si="73"/>
        <v>October</v>
      </c>
      <c r="D551">
        <f t="shared" si="74"/>
        <v>2025</v>
      </c>
      <c r="E551" s="3">
        <v>45943</v>
      </c>
      <c r="F551">
        <f t="shared" si="72"/>
        <v>2</v>
      </c>
      <c r="G551" t="s">
        <v>1743</v>
      </c>
      <c r="H551" t="s">
        <v>36</v>
      </c>
      <c r="I551" t="s">
        <v>90</v>
      </c>
      <c r="J551" t="s">
        <v>54</v>
      </c>
      <c r="K551" t="s">
        <v>55</v>
      </c>
      <c r="L551" t="s">
        <v>56</v>
      </c>
      <c r="M551" t="s">
        <v>28</v>
      </c>
      <c r="N551" t="s">
        <v>48</v>
      </c>
      <c r="O551" t="s">
        <v>1744</v>
      </c>
      <c r="P551" t="s">
        <v>31</v>
      </c>
      <c r="Q551">
        <v>3</v>
      </c>
      <c r="R551">
        <v>3804.27</v>
      </c>
      <c r="S551" s="6">
        <v>0.1</v>
      </c>
      <c r="T551" s="6">
        <f t="shared" si="75"/>
        <v>0.1</v>
      </c>
      <c r="U551">
        <v>10271.530000000001</v>
      </c>
      <c r="V551">
        <f t="shared" si="76"/>
        <v>10271.529</v>
      </c>
      <c r="W551" s="6">
        <f t="shared" si="77"/>
        <v>-1.0000000002037268E-3</v>
      </c>
      <c r="X551">
        <v>8272.24</v>
      </c>
      <c r="Y551">
        <v>1999.29</v>
      </c>
      <c r="Z551">
        <f t="shared" si="78"/>
        <v>1999.2890000000007</v>
      </c>
      <c r="AA551" s="6">
        <f t="shared" si="79"/>
        <v>-9.9999999929423211E-4</v>
      </c>
      <c r="AB551">
        <f t="shared" si="80"/>
        <v>0.19464375751652949</v>
      </c>
      <c r="AC551" t="s">
        <v>32</v>
      </c>
      <c r="AD551" t="s">
        <v>33</v>
      </c>
      <c r="AE551" t="s">
        <v>2828</v>
      </c>
    </row>
    <row r="552" spans="1:32">
      <c r="A552" t="s">
        <v>1745</v>
      </c>
      <c r="B552" s="3">
        <v>45330</v>
      </c>
      <c r="C552" t="str">
        <f t="shared" si="73"/>
        <v>February</v>
      </c>
      <c r="D552">
        <f t="shared" si="74"/>
        <v>2024</v>
      </c>
      <c r="E552" s="3">
        <v>45514</v>
      </c>
      <c r="F552">
        <f t="shared" si="72"/>
        <v>184</v>
      </c>
      <c r="G552" t="s">
        <v>1746</v>
      </c>
      <c r="H552" t="s">
        <v>36</v>
      </c>
      <c r="I552" t="s">
        <v>95</v>
      </c>
      <c r="J552" t="s">
        <v>38</v>
      </c>
      <c r="K552" t="s">
        <v>39</v>
      </c>
      <c r="L552" t="s">
        <v>40</v>
      </c>
      <c r="M552" t="s">
        <v>74</v>
      </c>
      <c r="N552" t="s">
        <v>75</v>
      </c>
      <c r="O552" t="s">
        <v>1747</v>
      </c>
      <c r="P552" t="s">
        <v>59</v>
      </c>
      <c r="Q552">
        <v>6</v>
      </c>
      <c r="R552">
        <v>2126.44</v>
      </c>
      <c r="S552" s="6">
        <v>0.2</v>
      </c>
      <c r="T552" s="6">
        <f t="shared" si="75"/>
        <v>0.2</v>
      </c>
      <c r="U552">
        <v>10206.91</v>
      </c>
      <c r="V552">
        <f t="shared" si="76"/>
        <v>10206.912</v>
      </c>
      <c r="W552" s="6">
        <f t="shared" si="77"/>
        <v>2.0000000004074536E-3</v>
      </c>
      <c r="X552">
        <v>6764.53</v>
      </c>
      <c r="Y552">
        <v>3442.38</v>
      </c>
      <c r="Z552">
        <f t="shared" si="78"/>
        <v>3442.3820000000005</v>
      </c>
      <c r="AA552" s="6">
        <f t="shared" si="79"/>
        <v>2.0000000004074536E-3</v>
      </c>
      <c r="AB552">
        <f t="shared" si="80"/>
        <v>0.33725988820125036</v>
      </c>
      <c r="AC552" t="s">
        <v>32</v>
      </c>
      <c r="AD552" t="s">
        <v>33</v>
      </c>
      <c r="AE552" t="s">
        <v>2828</v>
      </c>
    </row>
    <row r="553" spans="1:32">
      <c r="A553" t="s">
        <v>1748</v>
      </c>
      <c r="B553" s="3">
        <v>45349</v>
      </c>
      <c r="C553" t="str">
        <f t="shared" si="73"/>
        <v>February</v>
      </c>
      <c r="D553">
        <f t="shared" si="74"/>
        <v>2024</v>
      </c>
      <c r="E553" s="3">
        <v>45349</v>
      </c>
      <c r="F553">
        <f t="shared" si="72"/>
        <v>0</v>
      </c>
      <c r="G553" t="s">
        <v>1749</v>
      </c>
      <c r="H553" t="s">
        <v>132</v>
      </c>
      <c r="I553" t="s">
        <v>24</v>
      </c>
      <c r="J553" t="s">
        <v>38</v>
      </c>
      <c r="K553" t="s">
        <v>228</v>
      </c>
      <c r="L553" t="s">
        <v>229</v>
      </c>
      <c r="M553" t="s">
        <v>41</v>
      </c>
      <c r="N553" t="s">
        <v>66</v>
      </c>
      <c r="O553" t="s">
        <v>1750</v>
      </c>
      <c r="P553" t="s">
        <v>31</v>
      </c>
      <c r="Q553">
        <v>3</v>
      </c>
      <c r="R553">
        <v>3148.09</v>
      </c>
      <c r="S553" s="6">
        <v>0.15</v>
      </c>
      <c r="T553" s="6">
        <f t="shared" si="75"/>
        <v>0.15</v>
      </c>
      <c r="U553">
        <v>8027.63</v>
      </c>
      <c r="V553">
        <f t="shared" si="76"/>
        <v>8027.6295</v>
      </c>
      <c r="W553" s="6">
        <f t="shared" si="77"/>
        <v>-5.0000000010186341E-4</v>
      </c>
      <c r="X553">
        <v>5496.09</v>
      </c>
      <c r="Y553">
        <v>2531.54</v>
      </c>
      <c r="Z553">
        <f t="shared" si="78"/>
        <v>2531.5394999999999</v>
      </c>
      <c r="AA553" s="6">
        <f t="shared" si="79"/>
        <v>-5.0000000010186341E-4</v>
      </c>
      <c r="AB553">
        <f t="shared" si="80"/>
        <v>0.31535330572991688</v>
      </c>
      <c r="AC553" t="s">
        <v>32</v>
      </c>
      <c r="AD553" t="s">
        <v>33</v>
      </c>
      <c r="AE553" t="s">
        <v>2828</v>
      </c>
    </row>
    <row r="554" spans="1:32">
      <c r="A554" t="s">
        <v>1751</v>
      </c>
      <c r="B554" s="3">
        <v>45681</v>
      </c>
      <c r="C554" t="str">
        <f t="shared" si="73"/>
        <v>January</v>
      </c>
      <c r="D554">
        <f t="shared" si="74"/>
        <v>2025</v>
      </c>
      <c r="E554" s="3">
        <v>45687</v>
      </c>
      <c r="F554">
        <f t="shared" si="72"/>
        <v>6</v>
      </c>
      <c r="G554" t="s">
        <v>1752</v>
      </c>
      <c r="H554" t="s">
        <v>62</v>
      </c>
      <c r="I554" t="s">
        <v>90</v>
      </c>
      <c r="J554" t="s">
        <v>38</v>
      </c>
      <c r="K554" t="s">
        <v>99</v>
      </c>
      <c r="L554" t="s">
        <v>100</v>
      </c>
      <c r="M554" t="s">
        <v>74</v>
      </c>
      <c r="N554" t="s">
        <v>80</v>
      </c>
      <c r="O554" t="s">
        <v>1753</v>
      </c>
      <c r="P554" t="s">
        <v>59</v>
      </c>
      <c r="Q554">
        <v>8</v>
      </c>
      <c r="R554">
        <v>312.52999999999997</v>
      </c>
      <c r="S554" s="6">
        <v>0.7</v>
      </c>
      <c r="T554" s="6">
        <f t="shared" si="75"/>
        <v>0.7</v>
      </c>
      <c r="U554">
        <v>1875.18</v>
      </c>
      <c r="V554">
        <f t="shared" si="76"/>
        <v>750.072</v>
      </c>
      <c r="W554" s="6">
        <f t="shared" si="77"/>
        <v>-1125.1080000000002</v>
      </c>
      <c r="X554">
        <v>1579.17</v>
      </c>
      <c r="Y554">
        <v>296.01</v>
      </c>
      <c r="Z554">
        <f t="shared" si="78"/>
        <v>-829.09800000000007</v>
      </c>
      <c r="AA554" s="6">
        <f t="shared" si="79"/>
        <v>-1125.1080000000002</v>
      </c>
      <c r="AB554">
        <f t="shared" si="80"/>
        <v>-1.1053578856429784</v>
      </c>
      <c r="AC554" t="s">
        <v>32</v>
      </c>
      <c r="AD554" t="s">
        <v>33</v>
      </c>
      <c r="AE554" t="s">
        <v>2826</v>
      </c>
      <c r="AF554" s="10" t="s">
        <v>2791</v>
      </c>
    </row>
    <row r="555" spans="1:32">
      <c r="A555" t="s">
        <v>1754</v>
      </c>
      <c r="B555" s="3">
        <v>45772</v>
      </c>
      <c r="C555" t="str">
        <f t="shared" si="73"/>
        <v>April</v>
      </c>
      <c r="D555">
        <f t="shared" si="74"/>
        <v>2025</v>
      </c>
      <c r="E555" s="3">
        <v>45775</v>
      </c>
      <c r="F555">
        <f t="shared" si="72"/>
        <v>3</v>
      </c>
      <c r="G555" t="s">
        <v>1755</v>
      </c>
      <c r="H555" t="s">
        <v>128</v>
      </c>
      <c r="I555" t="s">
        <v>37</v>
      </c>
      <c r="J555" t="s">
        <v>63</v>
      </c>
      <c r="K555" t="s">
        <v>180</v>
      </c>
      <c r="L555" t="s">
        <v>181</v>
      </c>
      <c r="M555" t="s">
        <v>28</v>
      </c>
      <c r="N555" t="s">
        <v>124</v>
      </c>
      <c r="O555" t="s">
        <v>1756</v>
      </c>
      <c r="P555" t="s">
        <v>50</v>
      </c>
      <c r="Q555">
        <v>9</v>
      </c>
      <c r="R555">
        <v>1294.1099999999999</v>
      </c>
      <c r="S555" s="6">
        <v>0.25</v>
      </c>
      <c r="T555" s="6">
        <f t="shared" si="75"/>
        <v>0.25</v>
      </c>
      <c r="U555">
        <v>8735.24</v>
      </c>
      <c r="V555">
        <f t="shared" si="76"/>
        <v>8735.2425000000003</v>
      </c>
      <c r="W555" s="6">
        <f t="shared" si="77"/>
        <v>2.500000000509317E-3</v>
      </c>
      <c r="X555">
        <v>6620.07</v>
      </c>
      <c r="Y555">
        <v>2115.17</v>
      </c>
      <c r="Z555">
        <f t="shared" si="78"/>
        <v>2115.1725000000006</v>
      </c>
      <c r="AA555" s="6">
        <f t="shared" si="79"/>
        <v>2.500000000509317E-3</v>
      </c>
      <c r="AB555">
        <f t="shared" si="80"/>
        <v>0.24214239043735769</v>
      </c>
      <c r="AC555" t="s">
        <v>32</v>
      </c>
      <c r="AD555" t="s">
        <v>33</v>
      </c>
      <c r="AE555" t="s">
        <v>2828</v>
      </c>
    </row>
    <row r="556" spans="1:32">
      <c r="A556" t="s">
        <v>1757</v>
      </c>
      <c r="B556" s="3">
        <v>45636</v>
      </c>
      <c r="C556" t="str">
        <f t="shared" si="73"/>
        <v>December</v>
      </c>
      <c r="D556">
        <f t="shared" si="74"/>
        <v>2024</v>
      </c>
      <c r="E556" s="3">
        <v>45582</v>
      </c>
      <c r="F556">
        <f t="shared" si="72"/>
        <v>-54</v>
      </c>
      <c r="G556" t="s">
        <v>1758</v>
      </c>
      <c r="H556" t="s">
        <v>53</v>
      </c>
      <c r="I556" t="s">
        <v>24</v>
      </c>
      <c r="J556" t="s">
        <v>2781</v>
      </c>
      <c r="K556" t="s">
        <v>228</v>
      </c>
      <c r="L556" t="s">
        <v>229</v>
      </c>
      <c r="M556" t="s">
        <v>41</v>
      </c>
      <c r="N556" t="s">
        <v>57</v>
      </c>
      <c r="O556" t="s">
        <v>1759</v>
      </c>
      <c r="P556" t="s">
        <v>59</v>
      </c>
      <c r="Q556">
        <v>4</v>
      </c>
      <c r="R556">
        <v>1071.22</v>
      </c>
      <c r="S556" s="6">
        <v>0.05</v>
      </c>
      <c r="T556" s="6">
        <f t="shared" si="75"/>
        <v>0.05</v>
      </c>
      <c r="U556">
        <v>4070.64</v>
      </c>
      <c r="V556">
        <f t="shared" si="76"/>
        <v>4070.636</v>
      </c>
      <c r="W556" s="6">
        <f t="shared" si="77"/>
        <v>-3.9999999999054126E-3</v>
      </c>
      <c r="X556">
        <v>2831.62</v>
      </c>
      <c r="Y556">
        <v>1239.02</v>
      </c>
      <c r="Z556">
        <f t="shared" si="78"/>
        <v>1239.0160000000001</v>
      </c>
      <c r="AA556" s="6">
        <f t="shared" si="79"/>
        <v>-3.9999999999054126E-3</v>
      </c>
      <c r="AB556">
        <f t="shared" si="80"/>
        <v>0.30437897173807732</v>
      </c>
      <c r="AC556" t="s">
        <v>32</v>
      </c>
      <c r="AD556" t="s">
        <v>33</v>
      </c>
      <c r="AE556" t="s">
        <v>2826</v>
      </c>
      <c r="AF556" s="10" t="s">
        <v>2790</v>
      </c>
    </row>
    <row r="557" spans="1:32">
      <c r="A557" t="s">
        <v>1760</v>
      </c>
      <c r="B557" s="3">
        <v>45749</v>
      </c>
      <c r="C557" t="str">
        <f t="shared" si="73"/>
        <v>April</v>
      </c>
      <c r="D557">
        <f t="shared" si="74"/>
        <v>2025</v>
      </c>
      <c r="E557" s="3">
        <v>45932</v>
      </c>
      <c r="F557">
        <f t="shared" si="72"/>
        <v>183</v>
      </c>
      <c r="G557" t="s">
        <v>1761</v>
      </c>
      <c r="H557" t="s">
        <v>62</v>
      </c>
      <c r="I557" t="s">
        <v>37</v>
      </c>
      <c r="J557" t="s">
        <v>54</v>
      </c>
      <c r="K557" t="s">
        <v>55</v>
      </c>
      <c r="L557" t="s">
        <v>56</v>
      </c>
      <c r="M557" t="s">
        <v>28</v>
      </c>
      <c r="N557" t="s">
        <v>124</v>
      </c>
      <c r="O557" t="s">
        <v>1762</v>
      </c>
      <c r="P557" t="s">
        <v>59</v>
      </c>
      <c r="Q557">
        <v>6</v>
      </c>
      <c r="R557">
        <v>1042.8</v>
      </c>
      <c r="S557" s="6">
        <v>0.05</v>
      </c>
      <c r="T557" s="6">
        <f t="shared" si="75"/>
        <v>0.05</v>
      </c>
      <c r="U557">
        <v>5943.96</v>
      </c>
      <c r="V557">
        <f t="shared" si="76"/>
        <v>5943.9599999999991</v>
      </c>
      <c r="W557" s="6">
        <f t="shared" si="77"/>
        <v>0</v>
      </c>
      <c r="X557">
        <v>3604.14</v>
      </c>
      <c r="Y557">
        <v>2339.8200000000002</v>
      </c>
      <c r="Z557">
        <f t="shared" si="78"/>
        <v>2339.8199999999993</v>
      </c>
      <c r="AA557" s="6">
        <f t="shared" si="79"/>
        <v>0</v>
      </c>
      <c r="AB557">
        <f t="shared" si="80"/>
        <v>0.39364665980255581</v>
      </c>
      <c r="AC557" t="s">
        <v>32</v>
      </c>
      <c r="AD557" t="s">
        <v>33</v>
      </c>
      <c r="AE557" t="s">
        <v>2828</v>
      </c>
    </row>
    <row r="558" spans="1:32">
      <c r="A558" t="s">
        <v>1763</v>
      </c>
      <c r="B558" s="3">
        <v>45466</v>
      </c>
      <c r="C558" t="str">
        <f t="shared" si="73"/>
        <v>June</v>
      </c>
      <c r="D558">
        <f t="shared" si="74"/>
        <v>2024</v>
      </c>
      <c r="E558" s="3">
        <v>45472</v>
      </c>
      <c r="F558">
        <f t="shared" si="72"/>
        <v>6</v>
      </c>
      <c r="G558" t="s">
        <v>1764</v>
      </c>
      <c r="H558" t="s">
        <v>79</v>
      </c>
      <c r="I558" t="s">
        <v>24</v>
      </c>
      <c r="J558" t="s">
        <v>25</v>
      </c>
      <c r="K558" t="s">
        <v>236</v>
      </c>
      <c r="L558" t="s">
        <v>237</v>
      </c>
      <c r="M558" t="s">
        <v>41</v>
      </c>
      <c r="N558" t="s">
        <v>42</v>
      </c>
      <c r="O558" t="s">
        <v>1765</v>
      </c>
      <c r="P558" t="s">
        <v>50</v>
      </c>
      <c r="Q558">
        <v>1</v>
      </c>
      <c r="R558">
        <v>4426.66</v>
      </c>
      <c r="S558" s="6">
        <v>0</v>
      </c>
      <c r="T558" s="6">
        <f t="shared" si="75"/>
        <v>0</v>
      </c>
      <c r="U558">
        <v>4426.66</v>
      </c>
      <c r="V558">
        <f t="shared" si="76"/>
        <v>4426.66</v>
      </c>
      <c r="W558" s="6">
        <f t="shared" si="77"/>
        <v>0</v>
      </c>
      <c r="X558">
        <v>3035.2</v>
      </c>
      <c r="Y558">
        <v>1816.23</v>
      </c>
      <c r="Z558">
        <f t="shared" si="78"/>
        <v>1391.46</v>
      </c>
      <c r="AA558" s="6">
        <f t="shared" si="79"/>
        <v>-424.77</v>
      </c>
      <c r="AB558">
        <f t="shared" si="80"/>
        <v>0.31433631677156143</v>
      </c>
      <c r="AC558" t="s">
        <v>32</v>
      </c>
      <c r="AD558" t="s">
        <v>103</v>
      </c>
      <c r="AE558" t="s">
        <v>2827</v>
      </c>
      <c r="AF558" t="s">
        <v>103</v>
      </c>
    </row>
    <row r="559" spans="1:32">
      <c r="A559" t="s">
        <v>1766</v>
      </c>
      <c r="B559" s="3">
        <v>45509</v>
      </c>
      <c r="C559" t="str">
        <f t="shared" si="73"/>
        <v>August</v>
      </c>
      <c r="D559">
        <f t="shared" si="74"/>
        <v>2024</v>
      </c>
      <c r="E559" s="3">
        <v>45426</v>
      </c>
      <c r="F559">
        <f t="shared" si="72"/>
        <v>-83</v>
      </c>
      <c r="G559" t="s">
        <v>1767</v>
      </c>
      <c r="H559" t="s">
        <v>71</v>
      </c>
      <c r="I559" t="s">
        <v>95</v>
      </c>
      <c r="J559" t="s">
        <v>25</v>
      </c>
      <c r="K559" t="s">
        <v>236</v>
      </c>
      <c r="L559" t="s">
        <v>237</v>
      </c>
      <c r="M559" t="s">
        <v>74</v>
      </c>
      <c r="N559" t="s">
        <v>171</v>
      </c>
      <c r="O559" t="s">
        <v>1768</v>
      </c>
      <c r="P559" t="s">
        <v>50</v>
      </c>
      <c r="Q559">
        <v>9</v>
      </c>
      <c r="R559">
        <v>3769.46</v>
      </c>
      <c r="S559" s="6">
        <v>0.05</v>
      </c>
      <c r="T559" s="6">
        <f t="shared" si="75"/>
        <v>0.05</v>
      </c>
      <c r="U559">
        <v>32228.880000000001</v>
      </c>
      <c r="V559">
        <f t="shared" si="76"/>
        <v>32228.882999999998</v>
      </c>
      <c r="W559" s="6">
        <f t="shared" si="77"/>
        <v>2.9999999969732016E-3</v>
      </c>
      <c r="X559">
        <v>24971.360000000001</v>
      </c>
      <c r="Y559">
        <v>7257.52</v>
      </c>
      <c r="Z559">
        <f t="shared" si="78"/>
        <v>7257.5229999999974</v>
      </c>
      <c r="AA559" s="6">
        <f t="shared" si="79"/>
        <v>2.9999999969732016E-3</v>
      </c>
      <c r="AB559">
        <f t="shared" si="80"/>
        <v>0.22518692317074712</v>
      </c>
      <c r="AC559" t="s">
        <v>32</v>
      </c>
      <c r="AD559" t="s">
        <v>68</v>
      </c>
      <c r="AE559" t="s">
        <v>2826</v>
      </c>
      <c r="AF559" s="10" t="s">
        <v>2793</v>
      </c>
    </row>
    <row r="560" spans="1:32">
      <c r="A560" t="s">
        <v>1769</v>
      </c>
      <c r="B560" s="3">
        <v>45756</v>
      </c>
      <c r="C560" t="str">
        <f t="shared" si="73"/>
        <v>April</v>
      </c>
      <c r="D560">
        <f t="shared" si="74"/>
        <v>2025</v>
      </c>
      <c r="E560" s="3">
        <v>45904</v>
      </c>
      <c r="F560">
        <f t="shared" si="72"/>
        <v>148</v>
      </c>
      <c r="G560" t="s">
        <v>1770</v>
      </c>
      <c r="H560" t="s">
        <v>89</v>
      </c>
      <c r="I560" t="s">
        <v>90</v>
      </c>
      <c r="J560" t="s">
        <v>25</v>
      </c>
      <c r="K560" t="s">
        <v>122</v>
      </c>
      <c r="L560" t="s">
        <v>123</v>
      </c>
      <c r="M560" t="s">
        <v>74</v>
      </c>
      <c r="N560" t="s">
        <v>274</v>
      </c>
      <c r="O560" t="s">
        <v>1771</v>
      </c>
      <c r="P560" t="s">
        <v>50</v>
      </c>
      <c r="Q560">
        <v>8</v>
      </c>
      <c r="R560">
        <v>3079.95</v>
      </c>
      <c r="S560" s="6">
        <v>0.2</v>
      </c>
      <c r="T560" s="6">
        <f t="shared" si="75"/>
        <v>0.2</v>
      </c>
      <c r="U560">
        <v>19711.68</v>
      </c>
      <c r="V560">
        <f t="shared" si="76"/>
        <v>19711.68</v>
      </c>
      <c r="W560" s="6">
        <f t="shared" si="77"/>
        <v>0</v>
      </c>
      <c r="X560">
        <v>14461.8</v>
      </c>
      <c r="Y560">
        <v>5249.88</v>
      </c>
      <c r="Z560">
        <f t="shared" si="78"/>
        <v>5249.880000000001</v>
      </c>
      <c r="AA560" s="6">
        <f t="shared" si="79"/>
        <v>0</v>
      </c>
      <c r="AB560">
        <f t="shared" si="80"/>
        <v>0.26633346320557155</v>
      </c>
      <c r="AC560" t="s">
        <v>32</v>
      </c>
      <c r="AD560" t="s">
        <v>33</v>
      </c>
      <c r="AE560" t="s">
        <v>2828</v>
      </c>
    </row>
    <row r="561" spans="1:32">
      <c r="A561" t="s">
        <v>1772</v>
      </c>
      <c r="B561" s="3">
        <v>45930</v>
      </c>
      <c r="C561" t="str">
        <f t="shared" si="73"/>
        <v>September</v>
      </c>
      <c r="D561">
        <f t="shared" si="74"/>
        <v>2025</v>
      </c>
      <c r="E561" s="3">
        <v>45848</v>
      </c>
      <c r="F561">
        <f t="shared" si="72"/>
        <v>-82</v>
      </c>
      <c r="G561" t="s">
        <v>1773</v>
      </c>
      <c r="H561" t="s">
        <v>162</v>
      </c>
      <c r="I561" t="s">
        <v>90</v>
      </c>
      <c r="J561" t="s">
        <v>38</v>
      </c>
      <c r="K561" t="s">
        <v>145</v>
      </c>
      <c r="L561" t="s">
        <v>146</v>
      </c>
      <c r="M561" t="s">
        <v>74</v>
      </c>
      <c r="N561" t="s">
        <v>80</v>
      </c>
      <c r="O561" t="s">
        <v>1774</v>
      </c>
      <c r="P561" t="s">
        <v>31</v>
      </c>
      <c r="Q561">
        <v>5</v>
      </c>
      <c r="R561">
        <v>3277.82</v>
      </c>
      <c r="S561" s="6">
        <v>0.1</v>
      </c>
      <c r="T561" s="6">
        <f t="shared" si="75"/>
        <v>0.1</v>
      </c>
      <c r="U561">
        <v>14750.19</v>
      </c>
      <c r="V561">
        <f t="shared" si="76"/>
        <v>14750.190000000002</v>
      </c>
      <c r="W561" s="6">
        <f t="shared" si="77"/>
        <v>0</v>
      </c>
      <c r="X561">
        <v>9482.58</v>
      </c>
      <c r="Y561">
        <v>5267.61</v>
      </c>
      <c r="Z561">
        <f t="shared" si="78"/>
        <v>5267.6100000000024</v>
      </c>
      <c r="AA561" s="6">
        <f t="shared" si="79"/>
        <v>0</v>
      </c>
      <c r="AB561">
        <f t="shared" si="80"/>
        <v>0.35712150148574368</v>
      </c>
      <c r="AC561" t="s">
        <v>32</v>
      </c>
      <c r="AD561" t="s">
        <v>103</v>
      </c>
      <c r="AE561" t="s">
        <v>2826</v>
      </c>
      <c r="AF561" s="10" t="s">
        <v>2818</v>
      </c>
    </row>
    <row r="562" spans="1:32">
      <c r="A562" t="s">
        <v>1775</v>
      </c>
      <c r="B562" s="3">
        <v>45307</v>
      </c>
      <c r="C562" t="str">
        <f t="shared" si="73"/>
        <v>January</v>
      </c>
      <c r="D562">
        <f t="shared" si="74"/>
        <v>2024</v>
      </c>
      <c r="E562" s="3">
        <v>45313</v>
      </c>
      <c r="F562">
        <f t="shared" si="72"/>
        <v>6</v>
      </c>
      <c r="G562" t="s">
        <v>1776</v>
      </c>
      <c r="H562" t="s">
        <v>53</v>
      </c>
      <c r="I562" t="s">
        <v>24</v>
      </c>
      <c r="J562" t="s">
        <v>63</v>
      </c>
      <c r="K562" t="s">
        <v>190</v>
      </c>
      <c r="L562" t="s">
        <v>191</v>
      </c>
      <c r="M562" t="s">
        <v>28</v>
      </c>
      <c r="N562" t="s">
        <v>124</v>
      </c>
      <c r="O562" t="s">
        <v>1777</v>
      </c>
      <c r="P562" t="s">
        <v>59</v>
      </c>
      <c r="Q562">
        <v>4</v>
      </c>
      <c r="R562">
        <v>282.52999999999997</v>
      </c>
      <c r="S562" s="6">
        <v>0</v>
      </c>
      <c r="T562" s="6">
        <f t="shared" si="75"/>
        <v>0</v>
      </c>
      <c r="U562">
        <v>1130.1199999999999</v>
      </c>
      <c r="V562">
        <f t="shared" si="76"/>
        <v>1130.1199999999999</v>
      </c>
      <c r="W562" s="6">
        <f t="shared" si="77"/>
        <v>0</v>
      </c>
      <c r="X562">
        <v>848.62</v>
      </c>
      <c r="Y562">
        <v>281.5</v>
      </c>
      <c r="Z562">
        <f t="shared" si="78"/>
        <v>281.49999999999989</v>
      </c>
      <c r="AA562" s="6">
        <f t="shared" si="79"/>
        <v>0</v>
      </c>
      <c r="AB562">
        <f t="shared" si="80"/>
        <v>0.249088592361873</v>
      </c>
      <c r="AC562" t="s">
        <v>32</v>
      </c>
      <c r="AD562" t="s">
        <v>68</v>
      </c>
      <c r="AE562" t="s">
        <v>2827</v>
      </c>
      <c r="AF562" t="s">
        <v>2795</v>
      </c>
    </row>
    <row r="563" spans="1:32">
      <c r="A563" t="s">
        <v>1778</v>
      </c>
      <c r="B563" s="3">
        <v>45852</v>
      </c>
      <c r="C563" t="str">
        <f t="shared" si="73"/>
        <v>July</v>
      </c>
      <c r="D563">
        <f t="shared" si="74"/>
        <v>2025</v>
      </c>
      <c r="E563" s="3">
        <v>45856</v>
      </c>
      <c r="F563">
        <f t="shared" si="72"/>
        <v>4</v>
      </c>
      <c r="G563" t="s">
        <v>1779</v>
      </c>
      <c r="H563" t="s">
        <v>89</v>
      </c>
      <c r="I563" t="s">
        <v>24</v>
      </c>
      <c r="J563" t="s">
        <v>25</v>
      </c>
      <c r="K563" t="s">
        <v>122</v>
      </c>
      <c r="L563" t="s">
        <v>123</v>
      </c>
      <c r="M563" t="s">
        <v>74</v>
      </c>
      <c r="N563" t="s">
        <v>80</v>
      </c>
      <c r="O563" t="s">
        <v>1780</v>
      </c>
      <c r="P563" t="s">
        <v>50</v>
      </c>
      <c r="Q563">
        <v>4</v>
      </c>
      <c r="R563">
        <v>725.22</v>
      </c>
      <c r="S563" s="6">
        <v>0</v>
      </c>
      <c r="T563" s="6">
        <f t="shared" si="75"/>
        <v>0</v>
      </c>
      <c r="U563">
        <v>2900.88</v>
      </c>
      <c r="V563">
        <f t="shared" si="76"/>
        <v>2900.88</v>
      </c>
      <c r="W563" s="6">
        <f t="shared" si="77"/>
        <v>0</v>
      </c>
      <c r="X563">
        <v>2391.85</v>
      </c>
      <c r="Y563">
        <v>509.03</v>
      </c>
      <c r="Z563">
        <f t="shared" si="78"/>
        <v>509.0300000000002</v>
      </c>
      <c r="AA563" s="6">
        <f t="shared" si="79"/>
        <v>0</v>
      </c>
      <c r="AB563">
        <f t="shared" si="80"/>
        <v>0.17547433882132324</v>
      </c>
      <c r="AC563" t="s">
        <v>111</v>
      </c>
      <c r="AD563" t="s">
        <v>103</v>
      </c>
      <c r="AE563" t="s">
        <v>2827</v>
      </c>
      <c r="AF563" t="s">
        <v>2814</v>
      </c>
    </row>
    <row r="564" spans="1:32">
      <c r="A564" t="s">
        <v>1781</v>
      </c>
      <c r="B564" s="3">
        <v>45570</v>
      </c>
      <c r="C564" t="str">
        <f t="shared" si="73"/>
        <v>October</v>
      </c>
      <c r="D564">
        <f t="shared" si="74"/>
        <v>2024</v>
      </c>
      <c r="E564" s="3">
        <v>45428</v>
      </c>
      <c r="F564">
        <f t="shared" si="72"/>
        <v>-142</v>
      </c>
      <c r="G564" t="s">
        <v>1782</v>
      </c>
      <c r="H564" t="s">
        <v>23</v>
      </c>
      <c r="I564" t="s">
        <v>24</v>
      </c>
      <c r="J564" t="s">
        <v>25</v>
      </c>
      <c r="K564" t="s">
        <v>122</v>
      </c>
      <c r="L564" t="s">
        <v>123</v>
      </c>
      <c r="M564" t="s">
        <v>28</v>
      </c>
      <c r="N564" t="s">
        <v>153</v>
      </c>
      <c r="O564" t="s">
        <v>1783</v>
      </c>
      <c r="P564" t="s">
        <v>44</v>
      </c>
      <c r="Q564">
        <v>7</v>
      </c>
      <c r="R564">
        <v>121.54</v>
      </c>
      <c r="S564" s="6">
        <v>0.2</v>
      </c>
      <c r="T564" s="6">
        <f t="shared" si="75"/>
        <v>0.2</v>
      </c>
      <c r="U564">
        <v>680.62</v>
      </c>
      <c r="V564">
        <f t="shared" si="76"/>
        <v>680.62400000000014</v>
      </c>
      <c r="W564" s="6">
        <f t="shared" si="77"/>
        <v>4.0000000001327862E-3</v>
      </c>
      <c r="X564">
        <v>463.49</v>
      </c>
      <c r="Y564">
        <v>217.13</v>
      </c>
      <c r="Z564">
        <f t="shared" si="78"/>
        <v>217.13400000000013</v>
      </c>
      <c r="AA564" s="6">
        <f t="shared" si="79"/>
        <v>4.0000000001327862E-3</v>
      </c>
      <c r="AB564">
        <f t="shared" si="80"/>
        <v>0.31902195632243363</v>
      </c>
      <c r="AC564" t="s">
        <v>155</v>
      </c>
      <c r="AD564" t="s">
        <v>103</v>
      </c>
      <c r="AE564" t="s">
        <v>2826</v>
      </c>
      <c r="AF564" s="10" t="s">
        <v>2816</v>
      </c>
    </row>
    <row r="565" spans="1:32">
      <c r="A565" t="s">
        <v>1784</v>
      </c>
      <c r="B565" s="3">
        <v>45418</v>
      </c>
      <c r="C565" t="str">
        <f t="shared" si="73"/>
        <v>May</v>
      </c>
      <c r="D565">
        <f t="shared" si="74"/>
        <v>2024</v>
      </c>
      <c r="E565" s="3">
        <v>45631</v>
      </c>
      <c r="F565">
        <f t="shared" si="72"/>
        <v>213</v>
      </c>
      <c r="G565" t="s">
        <v>1785</v>
      </c>
      <c r="H565" t="s">
        <v>53</v>
      </c>
      <c r="I565" t="s">
        <v>90</v>
      </c>
      <c r="J565" t="s">
        <v>63</v>
      </c>
      <c r="K565" t="s">
        <v>190</v>
      </c>
      <c r="L565" t="s">
        <v>191</v>
      </c>
      <c r="M565" t="s">
        <v>41</v>
      </c>
      <c r="N565" t="s">
        <v>42</v>
      </c>
      <c r="O565" t="s">
        <v>1786</v>
      </c>
      <c r="P565" t="s">
        <v>59</v>
      </c>
      <c r="Q565">
        <v>9</v>
      </c>
      <c r="R565">
        <v>790.97</v>
      </c>
      <c r="S565" s="6">
        <v>0.2</v>
      </c>
      <c r="T565" s="6">
        <f t="shared" si="75"/>
        <v>0.2</v>
      </c>
      <c r="U565">
        <v>5694.98</v>
      </c>
      <c r="V565">
        <f t="shared" si="76"/>
        <v>5694.9840000000004</v>
      </c>
      <c r="W565" s="6">
        <f t="shared" si="77"/>
        <v>4.0000000008149073E-3</v>
      </c>
      <c r="X565">
        <v>4618.33</v>
      </c>
      <c r="Y565">
        <v>1076.6500000000001</v>
      </c>
      <c r="Z565">
        <f t="shared" si="78"/>
        <v>1076.6540000000005</v>
      </c>
      <c r="AA565" s="6">
        <f t="shared" si="79"/>
        <v>4.0000000003601599E-3</v>
      </c>
      <c r="AB565">
        <f t="shared" si="80"/>
        <v>0.1890530333360024</v>
      </c>
      <c r="AC565" t="s">
        <v>111</v>
      </c>
      <c r="AD565" t="s">
        <v>68</v>
      </c>
      <c r="AE565" t="s">
        <v>2827</v>
      </c>
      <c r="AF565" t="s">
        <v>2804</v>
      </c>
    </row>
    <row r="566" spans="1:32">
      <c r="A566" t="s">
        <v>1787</v>
      </c>
      <c r="B566" s="3">
        <v>45606</v>
      </c>
      <c r="C566" t="str">
        <f t="shared" si="73"/>
        <v>November</v>
      </c>
      <c r="D566">
        <f t="shared" si="74"/>
        <v>2024</v>
      </c>
      <c r="E566" s="3">
        <v>45610</v>
      </c>
      <c r="F566">
        <f t="shared" si="72"/>
        <v>4</v>
      </c>
      <c r="G566" t="s">
        <v>1788</v>
      </c>
      <c r="H566" t="s">
        <v>132</v>
      </c>
      <c r="I566" t="s">
        <v>90</v>
      </c>
      <c r="J566" t="s">
        <v>54</v>
      </c>
      <c r="K566" t="s">
        <v>84</v>
      </c>
      <c r="L566" t="s">
        <v>85</v>
      </c>
      <c r="M566" t="s">
        <v>41</v>
      </c>
      <c r="N566" t="s">
        <v>42</v>
      </c>
      <c r="O566" t="s">
        <v>1789</v>
      </c>
      <c r="P566" t="s">
        <v>50</v>
      </c>
      <c r="Q566">
        <v>2</v>
      </c>
      <c r="R566">
        <v>921.34</v>
      </c>
      <c r="S566" s="6">
        <v>0.2</v>
      </c>
      <c r="T566" s="6">
        <f t="shared" si="75"/>
        <v>0.2</v>
      </c>
      <c r="U566">
        <v>1474.14</v>
      </c>
      <c r="V566">
        <f t="shared" si="76"/>
        <v>1474.1440000000002</v>
      </c>
      <c r="W566" s="6">
        <f t="shared" si="77"/>
        <v>4.0000000001327862E-3</v>
      </c>
      <c r="X566">
        <v>968.46</v>
      </c>
      <c r="Y566">
        <v>505.68</v>
      </c>
      <c r="Z566">
        <f t="shared" si="78"/>
        <v>505.6840000000002</v>
      </c>
      <c r="AA566" s="6">
        <f t="shared" si="79"/>
        <v>4.0000000001896296E-3</v>
      </c>
      <c r="AB566">
        <f t="shared" si="80"/>
        <v>0.34303568715132315</v>
      </c>
      <c r="AC566" t="s">
        <v>32</v>
      </c>
      <c r="AD566" t="s">
        <v>33</v>
      </c>
      <c r="AE566" t="s">
        <v>2828</v>
      </c>
    </row>
    <row r="567" spans="1:32">
      <c r="A567" t="s">
        <v>1790</v>
      </c>
      <c r="B567" s="3">
        <v>45846</v>
      </c>
      <c r="C567" t="str">
        <f t="shared" si="73"/>
        <v>July</v>
      </c>
      <c r="D567">
        <f t="shared" si="74"/>
        <v>2025</v>
      </c>
      <c r="E567" s="3">
        <v>45882</v>
      </c>
      <c r="F567">
        <f t="shared" si="72"/>
        <v>36</v>
      </c>
      <c r="G567" t="s">
        <v>1791</v>
      </c>
      <c r="H567" t="s">
        <v>36</v>
      </c>
      <c r="I567" t="s">
        <v>90</v>
      </c>
      <c r="J567" t="s">
        <v>25</v>
      </c>
      <c r="K567" t="s">
        <v>350</v>
      </c>
      <c r="L567" t="s">
        <v>351</v>
      </c>
      <c r="M567" t="s">
        <v>74</v>
      </c>
      <c r="N567" t="s">
        <v>171</v>
      </c>
      <c r="O567" t="s">
        <v>1792</v>
      </c>
      <c r="P567" t="s">
        <v>59</v>
      </c>
      <c r="Q567">
        <v>6</v>
      </c>
      <c r="R567">
        <v>1921.86</v>
      </c>
      <c r="S567" s="6">
        <v>0.2</v>
      </c>
      <c r="T567" s="6">
        <f t="shared" si="75"/>
        <v>0.2</v>
      </c>
      <c r="U567">
        <v>9224.93</v>
      </c>
      <c r="V567">
        <f t="shared" si="76"/>
        <v>9224.9279999999999</v>
      </c>
      <c r="W567" s="6">
        <f t="shared" si="77"/>
        <v>-2.0000000004074536E-3</v>
      </c>
      <c r="X567">
        <v>7005.2</v>
      </c>
      <c r="Y567">
        <v>2219.73</v>
      </c>
      <c r="Z567">
        <f t="shared" si="78"/>
        <v>2219.7280000000001</v>
      </c>
      <c r="AA567" s="6">
        <f t="shared" si="79"/>
        <v>-1.9999999999527063E-3</v>
      </c>
      <c r="AB567">
        <f t="shared" si="80"/>
        <v>0.24062279944081949</v>
      </c>
      <c r="AC567" t="s">
        <v>102</v>
      </c>
      <c r="AD567" t="s">
        <v>68</v>
      </c>
      <c r="AE567" t="s">
        <v>2827</v>
      </c>
      <c r="AF567" t="s">
        <v>2808</v>
      </c>
    </row>
    <row r="568" spans="1:32">
      <c r="A568" t="s">
        <v>1793</v>
      </c>
      <c r="B568" s="3">
        <v>45604</v>
      </c>
      <c r="C568" t="str">
        <f t="shared" si="73"/>
        <v>November</v>
      </c>
      <c r="D568">
        <f t="shared" si="74"/>
        <v>2024</v>
      </c>
      <c r="E568" s="3">
        <v>45523</v>
      </c>
      <c r="F568">
        <f t="shared" si="72"/>
        <v>-81</v>
      </c>
      <c r="G568" t="s">
        <v>1794</v>
      </c>
      <c r="H568" t="s">
        <v>132</v>
      </c>
      <c r="I568" t="s">
        <v>37</v>
      </c>
      <c r="J568" t="s">
        <v>63</v>
      </c>
      <c r="K568" t="s">
        <v>64</v>
      </c>
      <c r="L568" t="s">
        <v>65</v>
      </c>
      <c r="M568" t="s">
        <v>28</v>
      </c>
      <c r="N568" t="s">
        <v>29</v>
      </c>
      <c r="O568" t="s">
        <v>1795</v>
      </c>
      <c r="P568" t="s">
        <v>44</v>
      </c>
      <c r="Q568">
        <v>2</v>
      </c>
      <c r="R568">
        <v>2617.89</v>
      </c>
      <c r="S568" s="6">
        <v>0.1</v>
      </c>
      <c r="T568" s="6">
        <f t="shared" si="75"/>
        <v>0.1</v>
      </c>
      <c r="U568">
        <v>4712.2</v>
      </c>
      <c r="V568">
        <f t="shared" si="76"/>
        <v>4712.2020000000002</v>
      </c>
      <c r="W568" s="6">
        <f t="shared" si="77"/>
        <v>2.0000000004074536E-3</v>
      </c>
      <c r="X568">
        <v>3851.91</v>
      </c>
      <c r="Y568">
        <v>860.29</v>
      </c>
      <c r="Z568">
        <f t="shared" si="78"/>
        <v>860.29200000000037</v>
      </c>
      <c r="AA568" s="6">
        <f t="shared" si="79"/>
        <v>2.0000000004074536E-3</v>
      </c>
      <c r="AB568">
        <f t="shared" si="80"/>
        <v>0.18256687637754077</v>
      </c>
      <c r="AC568" t="s">
        <v>155</v>
      </c>
      <c r="AD568" t="s">
        <v>103</v>
      </c>
      <c r="AE568" t="s">
        <v>2826</v>
      </c>
      <c r="AF568" s="10" t="s">
        <v>2816</v>
      </c>
    </row>
    <row r="569" spans="1:32">
      <c r="A569" t="s">
        <v>1796</v>
      </c>
      <c r="B569" s="3">
        <v>45445</v>
      </c>
      <c r="C569" t="str">
        <f t="shared" si="73"/>
        <v>June</v>
      </c>
      <c r="D569">
        <f t="shared" si="74"/>
        <v>2024</v>
      </c>
      <c r="E569" s="3">
        <v>45567</v>
      </c>
      <c r="F569">
        <f t="shared" si="72"/>
        <v>122</v>
      </c>
      <c r="G569" t="s">
        <v>1797</v>
      </c>
      <c r="H569" t="s">
        <v>53</v>
      </c>
      <c r="I569" t="s">
        <v>95</v>
      </c>
      <c r="J569" t="s">
        <v>25</v>
      </c>
      <c r="K569" t="s">
        <v>136</v>
      </c>
      <c r="L569" t="s">
        <v>137</v>
      </c>
      <c r="M569" t="s">
        <v>41</v>
      </c>
      <c r="N569" t="s">
        <v>57</v>
      </c>
      <c r="O569" t="s">
        <v>596</v>
      </c>
      <c r="P569" t="s">
        <v>44</v>
      </c>
      <c r="Q569">
        <v>1</v>
      </c>
      <c r="R569">
        <v>1374.06</v>
      </c>
      <c r="S569" s="6">
        <v>0.05</v>
      </c>
      <c r="T569" s="6">
        <f t="shared" si="75"/>
        <v>0.05</v>
      </c>
      <c r="U569">
        <v>1305.3599999999999</v>
      </c>
      <c r="V569">
        <f t="shared" si="76"/>
        <v>1305.357</v>
      </c>
      <c r="W569" s="6">
        <f t="shared" si="77"/>
        <v>-2.9999999999290594E-3</v>
      </c>
      <c r="X569">
        <v>731.89</v>
      </c>
      <c r="Y569">
        <v>573.47</v>
      </c>
      <c r="Z569">
        <f t="shared" si="78"/>
        <v>573.46699999999998</v>
      </c>
      <c r="AA569" s="6">
        <f t="shared" si="79"/>
        <v>-3.0000000000427463E-3</v>
      </c>
      <c r="AB569">
        <f t="shared" si="80"/>
        <v>0.4393181328939133</v>
      </c>
      <c r="AC569" t="s">
        <v>32</v>
      </c>
      <c r="AD569" t="s">
        <v>33</v>
      </c>
      <c r="AE569" t="s">
        <v>2828</v>
      </c>
    </row>
    <row r="570" spans="1:32">
      <c r="A570" t="s">
        <v>1798</v>
      </c>
      <c r="B570" s="3">
        <v>45312</v>
      </c>
      <c r="C570" t="str">
        <f t="shared" si="73"/>
        <v>January</v>
      </c>
      <c r="D570">
        <f t="shared" si="74"/>
        <v>2024</v>
      </c>
      <c r="E570" s="3">
        <v>45315</v>
      </c>
      <c r="F570">
        <f t="shared" si="72"/>
        <v>3</v>
      </c>
      <c r="G570" t="s">
        <v>1799</v>
      </c>
      <c r="H570" t="s">
        <v>264</v>
      </c>
      <c r="I570" t="s">
        <v>90</v>
      </c>
      <c r="J570" t="s">
        <v>25</v>
      </c>
      <c r="K570" t="s">
        <v>122</v>
      </c>
      <c r="L570" t="s">
        <v>123</v>
      </c>
      <c r="M570" t="s">
        <v>74</v>
      </c>
      <c r="N570" t="s">
        <v>274</v>
      </c>
      <c r="O570" t="s">
        <v>1800</v>
      </c>
      <c r="P570" t="s">
        <v>44</v>
      </c>
      <c r="Q570">
        <v>1</v>
      </c>
      <c r="R570">
        <v>3806.3</v>
      </c>
      <c r="S570" s="6">
        <v>0.25</v>
      </c>
      <c r="T570" s="6">
        <f t="shared" si="75"/>
        <v>0.25</v>
      </c>
      <c r="U570">
        <v>2854.73</v>
      </c>
      <c r="V570">
        <f t="shared" si="76"/>
        <v>2854.7250000000004</v>
      </c>
      <c r="W570" s="6">
        <f t="shared" si="77"/>
        <v>-4.999999999654392E-3</v>
      </c>
      <c r="X570">
        <v>1968.12</v>
      </c>
      <c r="Y570">
        <v>886.61</v>
      </c>
      <c r="Z570">
        <f t="shared" si="78"/>
        <v>886.60500000000047</v>
      </c>
      <c r="AA570" s="6">
        <f t="shared" si="79"/>
        <v>-4.9999999995407052E-3</v>
      </c>
      <c r="AB570">
        <f t="shared" si="80"/>
        <v>0.31057457373302172</v>
      </c>
      <c r="AC570" t="s">
        <v>32</v>
      </c>
      <c r="AD570" t="s">
        <v>33</v>
      </c>
      <c r="AE570" t="s">
        <v>2828</v>
      </c>
    </row>
    <row r="571" spans="1:32">
      <c r="A571" t="s">
        <v>1801</v>
      </c>
      <c r="B571" s="3">
        <v>45908</v>
      </c>
      <c r="C571" t="str">
        <f t="shared" si="73"/>
        <v>September</v>
      </c>
      <c r="D571">
        <f t="shared" si="74"/>
        <v>2025</v>
      </c>
      <c r="E571" s="3">
        <v>45939</v>
      </c>
      <c r="F571">
        <f t="shared" si="72"/>
        <v>31</v>
      </c>
      <c r="G571" t="s">
        <v>1802</v>
      </c>
      <c r="H571" t="s">
        <v>118</v>
      </c>
      <c r="I571" t="s">
        <v>95</v>
      </c>
      <c r="J571" t="s">
        <v>63</v>
      </c>
      <c r="K571" t="s">
        <v>64</v>
      </c>
      <c r="L571" t="s">
        <v>65</v>
      </c>
      <c r="M571" t="s">
        <v>41</v>
      </c>
      <c r="N571" t="s">
        <v>57</v>
      </c>
      <c r="O571" t="s">
        <v>1803</v>
      </c>
      <c r="P571" t="s">
        <v>59</v>
      </c>
      <c r="Q571">
        <v>6</v>
      </c>
      <c r="R571">
        <v>3251.17</v>
      </c>
      <c r="S571" s="6">
        <v>0.25</v>
      </c>
      <c r="T571" s="6">
        <f t="shared" si="75"/>
        <v>0.25</v>
      </c>
      <c r="U571">
        <v>14630.26</v>
      </c>
      <c r="V571">
        <f t="shared" si="76"/>
        <v>14630.264999999999</v>
      </c>
      <c r="W571" s="6">
        <f t="shared" si="77"/>
        <v>4.9999999991996447E-3</v>
      </c>
      <c r="X571">
        <v>11906.36</v>
      </c>
      <c r="Y571">
        <v>2723.9</v>
      </c>
      <c r="Z571">
        <f t="shared" si="78"/>
        <v>2723.9049999999988</v>
      </c>
      <c r="AA571" s="6">
        <f t="shared" si="79"/>
        <v>4.9999999987448973E-3</v>
      </c>
      <c r="AB571">
        <f t="shared" si="80"/>
        <v>0.18618288868998606</v>
      </c>
      <c r="AC571" t="s">
        <v>102</v>
      </c>
      <c r="AD571" t="s">
        <v>103</v>
      </c>
      <c r="AE571" t="s">
        <v>2827</v>
      </c>
      <c r="AF571" t="s">
        <v>2807</v>
      </c>
    </row>
    <row r="572" spans="1:32">
      <c r="A572" t="s">
        <v>1804</v>
      </c>
      <c r="B572" s="3">
        <v>45887</v>
      </c>
      <c r="C572" t="str">
        <f t="shared" si="73"/>
        <v>August</v>
      </c>
      <c r="D572">
        <f t="shared" si="74"/>
        <v>2025</v>
      </c>
      <c r="E572" s="3">
        <v>45891</v>
      </c>
      <c r="F572">
        <f t="shared" si="72"/>
        <v>4</v>
      </c>
      <c r="G572" t="s">
        <v>1805</v>
      </c>
      <c r="H572" t="s">
        <v>53</v>
      </c>
      <c r="I572" t="s">
        <v>24</v>
      </c>
      <c r="J572" t="s">
        <v>38</v>
      </c>
      <c r="K572" t="s">
        <v>228</v>
      </c>
      <c r="L572" t="s">
        <v>229</v>
      </c>
      <c r="M572" t="s">
        <v>41</v>
      </c>
      <c r="N572" t="s">
        <v>57</v>
      </c>
      <c r="O572" t="s">
        <v>1806</v>
      </c>
      <c r="P572" t="s">
        <v>31</v>
      </c>
      <c r="Q572">
        <v>3</v>
      </c>
      <c r="R572">
        <v>3946.44</v>
      </c>
      <c r="S572" s="6">
        <v>0.25</v>
      </c>
      <c r="T572" s="6">
        <f t="shared" si="75"/>
        <v>0.25</v>
      </c>
      <c r="U572">
        <v>8879.49</v>
      </c>
      <c r="V572">
        <f t="shared" si="76"/>
        <v>8879.49</v>
      </c>
      <c r="W572" s="6">
        <f t="shared" si="77"/>
        <v>0</v>
      </c>
      <c r="X572">
        <v>6344.57</v>
      </c>
      <c r="Y572">
        <v>2534.92</v>
      </c>
      <c r="Z572">
        <f t="shared" si="78"/>
        <v>2534.92</v>
      </c>
      <c r="AA572" s="6">
        <f t="shared" si="79"/>
        <v>0</v>
      </c>
      <c r="AB572">
        <f t="shared" si="80"/>
        <v>0.28548035979543873</v>
      </c>
      <c r="AC572" t="s">
        <v>155</v>
      </c>
      <c r="AD572" t="s">
        <v>103</v>
      </c>
      <c r="AE572" t="s">
        <v>2827</v>
      </c>
      <c r="AF572" s="10" t="s">
        <v>2821</v>
      </c>
    </row>
    <row r="573" spans="1:32">
      <c r="A573" t="s">
        <v>1807</v>
      </c>
      <c r="B573" s="3">
        <v>45932</v>
      </c>
      <c r="C573" t="str">
        <f t="shared" si="73"/>
        <v>October</v>
      </c>
      <c r="D573">
        <f t="shared" si="74"/>
        <v>2025</v>
      </c>
      <c r="E573" s="3">
        <v>45702</v>
      </c>
      <c r="F573">
        <f t="shared" si="72"/>
        <v>-230</v>
      </c>
      <c r="G573" t="s">
        <v>1808</v>
      </c>
      <c r="H573" t="s">
        <v>114</v>
      </c>
      <c r="I573" t="s">
        <v>37</v>
      </c>
      <c r="J573" t="s">
        <v>25</v>
      </c>
      <c r="K573" t="s">
        <v>136</v>
      </c>
      <c r="L573" t="s">
        <v>137</v>
      </c>
      <c r="M573" t="s">
        <v>74</v>
      </c>
      <c r="N573" t="s">
        <v>171</v>
      </c>
      <c r="O573" t="s">
        <v>1809</v>
      </c>
      <c r="P573" t="s">
        <v>2781</v>
      </c>
      <c r="Q573">
        <v>5</v>
      </c>
      <c r="R573">
        <v>4276.29</v>
      </c>
      <c r="S573" s="6">
        <v>0</v>
      </c>
      <c r="T573" s="6">
        <f t="shared" si="75"/>
        <v>0</v>
      </c>
      <c r="U573">
        <v>21381.45</v>
      </c>
      <c r="V573">
        <f t="shared" si="76"/>
        <v>21381.45</v>
      </c>
      <c r="W573" s="6">
        <f t="shared" si="77"/>
        <v>0</v>
      </c>
      <c r="X573">
        <v>13240.21</v>
      </c>
      <c r="Y573">
        <v>8141.24</v>
      </c>
      <c r="Z573">
        <f t="shared" si="78"/>
        <v>8141.2400000000016</v>
      </c>
      <c r="AA573" s="6">
        <f t="shared" si="79"/>
        <v>0</v>
      </c>
      <c r="AB573">
        <f t="shared" si="80"/>
        <v>0.38076182859441249</v>
      </c>
      <c r="AC573" t="s">
        <v>155</v>
      </c>
      <c r="AD573" t="s">
        <v>103</v>
      </c>
      <c r="AE573" t="s">
        <v>2826</v>
      </c>
      <c r="AF573" s="10" t="s">
        <v>2833</v>
      </c>
    </row>
    <row r="574" spans="1:32">
      <c r="A574" t="s">
        <v>1810</v>
      </c>
      <c r="B574" s="3">
        <v>45293</v>
      </c>
      <c r="C574" t="str">
        <f t="shared" si="73"/>
        <v>January</v>
      </c>
      <c r="D574">
        <f t="shared" si="74"/>
        <v>2024</v>
      </c>
      <c r="E574" s="3">
        <v>45536</v>
      </c>
      <c r="F574">
        <f t="shared" si="72"/>
        <v>243</v>
      </c>
      <c r="G574" t="s">
        <v>1811</v>
      </c>
      <c r="H574" t="s">
        <v>162</v>
      </c>
      <c r="I574" t="s">
        <v>90</v>
      </c>
      <c r="J574" t="s">
        <v>25</v>
      </c>
      <c r="K574" t="s">
        <v>350</v>
      </c>
      <c r="L574" t="s">
        <v>351</v>
      </c>
      <c r="M574" t="s">
        <v>74</v>
      </c>
      <c r="N574" t="s">
        <v>171</v>
      </c>
      <c r="O574" t="s">
        <v>1812</v>
      </c>
      <c r="P574" t="s">
        <v>59</v>
      </c>
      <c r="Q574">
        <v>3</v>
      </c>
      <c r="R574">
        <v>739.56</v>
      </c>
      <c r="S574" s="6">
        <v>0.2</v>
      </c>
      <c r="T574" s="6">
        <f t="shared" si="75"/>
        <v>0.2</v>
      </c>
      <c r="U574">
        <v>1774.94</v>
      </c>
      <c r="V574">
        <f t="shared" si="76"/>
        <v>1774.944</v>
      </c>
      <c r="W574" s="6">
        <f t="shared" si="77"/>
        <v>3.9999999999054126E-3</v>
      </c>
      <c r="X574">
        <v>1007.4</v>
      </c>
      <c r="Y574">
        <v>767.54</v>
      </c>
      <c r="Z574">
        <f t="shared" si="78"/>
        <v>767.54399999999998</v>
      </c>
      <c r="AA574" s="6">
        <f t="shared" si="79"/>
        <v>4.0000000000190994E-3</v>
      </c>
      <c r="AB574">
        <f t="shared" si="80"/>
        <v>0.43243279787982042</v>
      </c>
      <c r="AC574" t="s">
        <v>32</v>
      </c>
      <c r="AD574" t="s">
        <v>33</v>
      </c>
      <c r="AE574" t="s">
        <v>2828</v>
      </c>
    </row>
    <row r="575" spans="1:32">
      <c r="A575" t="s">
        <v>1813</v>
      </c>
      <c r="B575" s="3">
        <v>45922</v>
      </c>
      <c r="C575" t="str">
        <f t="shared" si="73"/>
        <v>September</v>
      </c>
      <c r="D575">
        <f t="shared" si="74"/>
        <v>2025</v>
      </c>
      <c r="E575" s="3">
        <v>45926</v>
      </c>
      <c r="F575">
        <f t="shared" si="72"/>
        <v>4</v>
      </c>
      <c r="G575" t="s">
        <v>1814</v>
      </c>
      <c r="H575" t="s">
        <v>47</v>
      </c>
      <c r="I575" t="s">
        <v>24</v>
      </c>
      <c r="J575" t="s">
        <v>54</v>
      </c>
      <c r="K575" t="s">
        <v>84</v>
      </c>
      <c r="L575" t="s">
        <v>85</v>
      </c>
      <c r="M575" t="s">
        <v>74</v>
      </c>
      <c r="N575" t="s">
        <v>171</v>
      </c>
      <c r="O575" t="s">
        <v>1815</v>
      </c>
      <c r="P575" t="s">
        <v>59</v>
      </c>
      <c r="Q575">
        <v>1</v>
      </c>
      <c r="R575">
        <v>573.65</v>
      </c>
      <c r="S575" s="6">
        <v>0</v>
      </c>
      <c r="T575" s="6">
        <f t="shared" si="75"/>
        <v>0</v>
      </c>
      <c r="U575">
        <v>573.65</v>
      </c>
      <c r="V575">
        <f t="shared" si="76"/>
        <v>573.65</v>
      </c>
      <c r="W575" s="6">
        <f t="shared" si="77"/>
        <v>0</v>
      </c>
      <c r="X575">
        <v>322.67</v>
      </c>
      <c r="Y575">
        <v>250.98</v>
      </c>
      <c r="Z575">
        <f t="shared" si="78"/>
        <v>250.97999999999996</v>
      </c>
      <c r="AA575" s="6">
        <f t="shared" si="79"/>
        <v>0</v>
      </c>
      <c r="AB575">
        <f t="shared" si="80"/>
        <v>0.43751416368866031</v>
      </c>
      <c r="AC575" t="s">
        <v>32</v>
      </c>
      <c r="AD575" t="s">
        <v>33</v>
      </c>
      <c r="AE575" t="s">
        <v>2828</v>
      </c>
    </row>
    <row r="576" spans="1:32">
      <c r="A576" t="s">
        <v>1816</v>
      </c>
      <c r="B576" s="3">
        <v>45342</v>
      </c>
      <c r="C576" t="str">
        <f t="shared" si="73"/>
        <v>February</v>
      </c>
      <c r="D576">
        <f t="shared" si="74"/>
        <v>2024</v>
      </c>
      <c r="E576" s="3">
        <v>45347</v>
      </c>
      <c r="F576">
        <f t="shared" si="72"/>
        <v>5</v>
      </c>
      <c r="G576" t="s">
        <v>800</v>
      </c>
      <c r="H576" t="s">
        <v>162</v>
      </c>
      <c r="I576" t="s">
        <v>95</v>
      </c>
      <c r="J576" t="s">
        <v>25</v>
      </c>
      <c r="K576" t="s">
        <v>122</v>
      </c>
      <c r="L576" t="s">
        <v>123</v>
      </c>
      <c r="M576" t="s">
        <v>74</v>
      </c>
      <c r="N576" t="s">
        <v>274</v>
      </c>
      <c r="O576" t="s">
        <v>1817</v>
      </c>
      <c r="P576" t="s">
        <v>59</v>
      </c>
      <c r="Q576">
        <v>4</v>
      </c>
      <c r="R576">
        <v>1355.8</v>
      </c>
      <c r="S576" s="6">
        <v>0</v>
      </c>
      <c r="T576" s="6">
        <f t="shared" si="75"/>
        <v>0</v>
      </c>
      <c r="U576">
        <v>5423.2</v>
      </c>
      <c r="V576">
        <f t="shared" si="76"/>
        <v>5423.2</v>
      </c>
      <c r="W576" s="6">
        <f t="shared" si="77"/>
        <v>0</v>
      </c>
      <c r="X576">
        <v>4072.44</v>
      </c>
      <c r="Y576">
        <v>1350.76</v>
      </c>
      <c r="Z576">
        <f t="shared" si="78"/>
        <v>1350.7599999999998</v>
      </c>
      <c r="AA576" s="6">
        <f t="shared" si="79"/>
        <v>0</v>
      </c>
      <c r="AB576">
        <f t="shared" si="80"/>
        <v>0.24907065938929043</v>
      </c>
      <c r="AC576" t="s">
        <v>32</v>
      </c>
      <c r="AD576" t="s">
        <v>33</v>
      </c>
      <c r="AE576" t="s">
        <v>2828</v>
      </c>
    </row>
    <row r="577" spans="1:32">
      <c r="A577" t="s">
        <v>1818</v>
      </c>
      <c r="B577" s="3">
        <v>45964</v>
      </c>
      <c r="C577" t="str">
        <f t="shared" si="73"/>
        <v>November</v>
      </c>
      <c r="D577">
        <f t="shared" si="74"/>
        <v>2025</v>
      </c>
      <c r="E577" s="3">
        <v>45730</v>
      </c>
      <c r="F577">
        <f t="shared" si="72"/>
        <v>-234</v>
      </c>
      <c r="G577" t="s">
        <v>1819</v>
      </c>
      <c r="H577" t="s">
        <v>132</v>
      </c>
      <c r="I577" t="s">
        <v>95</v>
      </c>
      <c r="J577" t="s">
        <v>54</v>
      </c>
      <c r="K577" t="s">
        <v>185</v>
      </c>
      <c r="L577" t="s">
        <v>186</v>
      </c>
      <c r="M577" t="s">
        <v>41</v>
      </c>
      <c r="N577" t="s">
        <v>57</v>
      </c>
      <c r="O577" t="s">
        <v>1820</v>
      </c>
      <c r="P577" t="s">
        <v>44</v>
      </c>
      <c r="Q577">
        <v>4</v>
      </c>
      <c r="R577">
        <v>1244.82</v>
      </c>
      <c r="S577" s="6">
        <v>0.2</v>
      </c>
      <c r="T577" s="6">
        <f t="shared" si="75"/>
        <v>0.2</v>
      </c>
      <c r="U577">
        <v>3983.42</v>
      </c>
      <c r="V577">
        <f t="shared" si="76"/>
        <v>3983.424</v>
      </c>
      <c r="W577" s="6">
        <f t="shared" si="77"/>
        <v>3.9999999999054126E-3</v>
      </c>
      <c r="X577">
        <v>3174.91</v>
      </c>
      <c r="Y577">
        <v>808.51</v>
      </c>
      <c r="Z577">
        <f t="shared" si="78"/>
        <v>808.51400000000012</v>
      </c>
      <c r="AA577" s="6">
        <f t="shared" si="79"/>
        <v>4.0000000001327862E-3</v>
      </c>
      <c r="AB577">
        <f t="shared" si="80"/>
        <v>0.2029696060474607</v>
      </c>
      <c r="AC577" t="s">
        <v>155</v>
      </c>
      <c r="AD577" t="s">
        <v>103</v>
      </c>
      <c r="AE577" t="s">
        <v>2826</v>
      </c>
      <c r="AF577" s="10" t="s">
        <v>2816</v>
      </c>
    </row>
    <row r="578" spans="1:32">
      <c r="A578" t="s">
        <v>1821</v>
      </c>
      <c r="B578" s="3">
        <v>45339</v>
      </c>
      <c r="C578" t="str">
        <f t="shared" si="73"/>
        <v>February</v>
      </c>
      <c r="D578">
        <f t="shared" si="74"/>
        <v>2024</v>
      </c>
      <c r="E578" s="3">
        <v>45345</v>
      </c>
      <c r="F578">
        <f t="shared" ref="F578:F641" si="81">E578-B578</f>
        <v>6</v>
      </c>
      <c r="G578" t="s">
        <v>1822</v>
      </c>
      <c r="H578" t="s">
        <v>141</v>
      </c>
      <c r="I578" t="s">
        <v>95</v>
      </c>
      <c r="J578" t="s">
        <v>2781</v>
      </c>
      <c r="K578" t="s">
        <v>145</v>
      </c>
      <c r="L578" t="s">
        <v>146</v>
      </c>
      <c r="M578" t="s">
        <v>28</v>
      </c>
      <c r="N578" t="s">
        <v>153</v>
      </c>
      <c r="O578" t="s">
        <v>1823</v>
      </c>
      <c r="P578" t="s">
        <v>59</v>
      </c>
      <c r="Q578">
        <v>9</v>
      </c>
      <c r="R578">
        <v>2614.46</v>
      </c>
      <c r="S578" s="6">
        <v>0</v>
      </c>
      <c r="T578" s="6">
        <f t="shared" si="75"/>
        <v>0</v>
      </c>
      <c r="U578">
        <v>23530.14</v>
      </c>
      <c r="V578">
        <f t="shared" si="76"/>
        <v>23530.14</v>
      </c>
      <c r="W578" s="6">
        <f t="shared" si="77"/>
        <v>0</v>
      </c>
      <c r="X578">
        <v>19537.79</v>
      </c>
      <c r="Y578">
        <v>3992.35</v>
      </c>
      <c r="Z578">
        <f t="shared" si="78"/>
        <v>3992.3499999999985</v>
      </c>
      <c r="AA578" s="6">
        <f t="shared" si="79"/>
        <v>0</v>
      </c>
      <c r="AB578">
        <f t="shared" si="80"/>
        <v>0.16966962372514566</v>
      </c>
      <c r="AC578" t="s">
        <v>102</v>
      </c>
      <c r="AD578" t="s">
        <v>103</v>
      </c>
      <c r="AE578" t="s">
        <v>2827</v>
      </c>
      <c r="AF578" t="s">
        <v>2807</v>
      </c>
    </row>
    <row r="579" spans="1:32">
      <c r="A579" t="s">
        <v>1824</v>
      </c>
      <c r="B579" s="3">
        <v>45897</v>
      </c>
      <c r="C579" t="str">
        <f t="shared" ref="C579:C642" si="82">TEXT(B579, "mmmm")</f>
        <v>August</v>
      </c>
      <c r="D579">
        <f t="shared" ref="D579:D642" si="83">YEAR(B579)</f>
        <v>2025</v>
      </c>
      <c r="E579" s="3">
        <v>45725</v>
      </c>
      <c r="F579">
        <f t="shared" si="81"/>
        <v>-172</v>
      </c>
      <c r="G579" t="s">
        <v>1825</v>
      </c>
      <c r="H579" t="s">
        <v>114</v>
      </c>
      <c r="I579" t="s">
        <v>90</v>
      </c>
      <c r="J579" t="s">
        <v>63</v>
      </c>
      <c r="K579" t="s">
        <v>72</v>
      </c>
      <c r="L579" t="s">
        <v>73</v>
      </c>
      <c r="M579" t="s">
        <v>41</v>
      </c>
      <c r="N579" t="s">
        <v>57</v>
      </c>
      <c r="O579" t="s">
        <v>1826</v>
      </c>
      <c r="P579" t="s">
        <v>59</v>
      </c>
      <c r="Q579">
        <v>7</v>
      </c>
      <c r="R579">
        <v>268.45</v>
      </c>
      <c r="S579" s="6">
        <v>0</v>
      </c>
      <c r="T579" s="6">
        <f t="shared" ref="T579:T642" si="84">ABS(S579)</f>
        <v>0</v>
      </c>
      <c r="U579">
        <v>1879.15</v>
      </c>
      <c r="V579">
        <f t="shared" ref="V579:V642" si="85">Q579*R579*(1-T579)</f>
        <v>1879.1499999999999</v>
      </c>
      <c r="W579" s="6">
        <f t="shared" ref="W579:W642" si="86">V579-U579</f>
        <v>0</v>
      </c>
      <c r="X579">
        <v>1134.9000000000001</v>
      </c>
      <c r="Y579">
        <v>744.25</v>
      </c>
      <c r="Z579">
        <f t="shared" ref="Z579:Z642" si="87">V579-X579</f>
        <v>744.24999999999977</v>
      </c>
      <c r="AA579" s="6">
        <f t="shared" ref="AA579:AA642" si="88">Z579-Y579</f>
        <v>0</v>
      </c>
      <c r="AB579">
        <f t="shared" ref="AB579:AB642" si="89">Z579/V579</f>
        <v>0.39605672777585599</v>
      </c>
      <c r="AC579" t="s">
        <v>32</v>
      </c>
      <c r="AD579" t="s">
        <v>33</v>
      </c>
      <c r="AE579" t="s">
        <v>2826</v>
      </c>
      <c r="AF579" s="10" t="s">
        <v>2790</v>
      </c>
    </row>
    <row r="580" spans="1:32">
      <c r="A580" t="s">
        <v>1827</v>
      </c>
      <c r="B580" s="3">
        <v>45343</v>
      </c>
      <c r="C580" t="str">
        <f t="shared" si="82"/>
        <v>February</v>
      </c>
      <c r="D580">
        <f t="shared" si="83"/>
        <v>2024</v>
      </c>
      <c r="E580" s="3">
        <v>45345</v>
      </c>
      <c r="F580">
        <f t="shared" si="81"/>
        <v>2</v>
      </c>
      <c r="G580" t="s">
        <v>295</v>
      </c>
      <c r="H580" t="s">
        <v>79</v>
      </c>
      <c r="I580" t="s">
        <v>37</v>
      </c>
      <c r="J580" t="s">
        <v>63</v>
      </c>
      <c r="K580" t="s">
        <v>180</v>
      </c>
      <c r="L580" t="s">
        <v>181</v>
      </c>
      <c r="M580" t="s">
        <v>74</v>
      </c>
      <c r="N580" t="s">
        <v>80</v>
      </c>
      <c r="O580" t="s">
        <v>1828</v>
      </c>
      <c r="P580" t="s">
        <v>50</v>
      </c>
      <c r="Q580">
        <v>6</v>
      </c>
      <c r="R580">
        <v>2633.65</v>
      </c>
      <c r="S580" s="6">
        <v>0.05</v>
      </c>
      <c r="T580" s="6">
        <f t="shared" si="84"/>
        <v>0.05</v>
      </c>
      <c r="U580">
        <v>15011.81</v>
      </c>
      <c r="V580">
        <f t="shared" si="85"/>
        <v>15011.805</v>
      </c>
      <c r="W580" s="6">
        <f t="shared" si="86"/>
        <v>-4.9999999991996447E-3</v>
      </c>
      <c r="X580">
        <v>9660.36</v>
      </c>
      <c r="Y580">
        <v>5351.45</v>
      </c>
      <c r="Z580">
        <f t="shared" si="87"/>
        <v>5351.4449999999997</v>
      </c>
      <c r="AA580" s="6">
        <f t="shared" si="88"/>
        <v>-5.0000000001091394E-3</v>
      </c>
      <c r="AB580">
        <f t="shared" si="89"/>
        <v>0.35648244831317749</v>
      </c>
      <c r="AC580" t="s">
        <v>32</v>
      </c>
      <c r="AD580" t="s">
        <v>33</v>
      </c>
      <c r="AE580" t="s">
        <v>2828</v>
      </c>
    </row>
    <row r="581" spans="1:32">
      <c r="A581" t="s">
        <v>1829</v>
      </c>
      <c r="B581" s="3">
        <v>45462</v>
      </c>
      <c r="C581" t="str">
        <f t="shared" si="82"/>
        <v>June</v>
      </c>
      <c r="D581">
        <f t="shared" si="83"/>
        <v>2024</v>
      </c>
      <c r="E581" s="3">
        <v>45467</v>
      </c>
      <c r="F581">
        <f t="shared" si="81"/>
        <v>5</v>
      </c>
      <c r="G581" t="s">
        <v>1830</v>
      </c>
      <c r="H581" t="s">
        <v>128</v>
      </c>
      <c r="I581" t="s">
        <v>37</v>
      </c>
      <c r="J581" t="s">
        <v>54</v>
      </c>
      <c r="K581" t="s">
        <v>247</v>
      </c>
      <c r="L581" t="s">
        <v>248</v>
      </c>
      <c r="M581" t="s">
        <v>28</v>
      </c>
      <c r="N581" t="s">
        <v>124</v>
      </c>
      <c r="O581" t="s">
        <v>1831</v>
      </c>
      <c r="P581" t="s">
        <v>44</v>
      </c>
      <c r="Q581">
        <v>1</v>
      </c>
      <c r="R581">
        <v>3202.41</v>
      </c>
      <c r="S581" s="6">
        <v>0</v>
      </c>
      <c r="T581" s="6">
        <f t="shared" si="84"/>
        <v>0</v>
      </c>
      <c r="U581">
        <v>3202.41</v>
      </c>
      <c r="V581">
        <f t="shared" si="85"/>
        <v>3202.41</v>
      </c>
      <c r="W581" s="6">
        <f t="shared" si="86"/>
        <v>0</v>
      </c>
      <c r="X581">
        <v>2608.44</v>
      </c>
      <c r="Y581">
        <v>593.97</v>
      </c>
      <c r="Z581">
        <f t="shared" si="87"/>
        <v>593.9699999999998</v>
      </c>
      <c r="AA581" s="6">
        <f t="shared" si="88"/>
        <v>0</v>
      </c>
      <c r="AB581">
        <f t="shared" si="89"/>
        <v>0.18547593843386695</v>
      </c>
      <c r="AC581" t="s">
        <v>32</v>
      </c>
      <c r="AD581" t="s">
        <v>33</v>
      </c>
      <c r="AE581" t="s">
        <v>2828</v>
      </c>
    </row>
    <row r="582" spans="1:32">
      <c r="A582" t="s">
        <v>1832</v>
      </c>
      <c r="B582" s="3">
        <v>45811</v>
      </c>
      <c r="C582" t="str">
        <f t="shared" si="82"/>
        <v>June</v>
      </c>
      <c r="D582">
        <f t="shared" si="83"/>
        <v>2025</v>
      </c>
      <c r="E582" s="3">
        <v>45729</v>
      </c>
      <c r="F582">
        <f t="shared" si="81"/>
        <v>-82</v>
      </c>
      <c r="G582" t="s">
        <v>1833</v>
      </c>
      <c r="H582" t="s">
        <v>264</v>
      </c>
      <c r="I582" t="s">
        <v>24</v>
      </c>
      <c r="J582" t="s">
        <v>54</v>
      </c>
      <c r="K582" t="s">
        <v>185</v>
      </c>
      <c r="L582" t="s">
        <v>186</v>
      </c>
      <c r="M582" t="s">
        <v>41</v>
      </c>
      <c r="N582" t="s">
        <v>66</v>
      </c>
      <c r="O582" t="s">
        <v>1834</v>
      </c>
      <c r="P582" t="s">
        <v>59</v>
      </c>
      <c r="Q582">
        <v>3</v>
      </c>
      <c r="R582">
        <v>163.72</v>
      </c>
      <c r="S582" s="6">
        <v>0.15</v>
      </c>
      <c r="T582" s="6">
        <f t="shared" si="84"/>
        <v>0.15</v>
      </c>
      <c r="U582">
        <v>417.49</v>
      </c>
      <c r="V582">
        <f t="shared" si="85"/>
        <v>417.48599999999999</v>
      </c>
      <c r="W582" s="6">
        <f t="shared" si="86"/>
        <v>-4.0000000000190994E-3</v>
      </c>
      <c r="X582">
        <v>261.67</v>
      </c>
      <c r="Y582">
        <v>155.82</v>
      </c>
      <c r="Z582">
        <f t="shared" si="87"/>
        <v>155.81599999999997</v>
      </c>
      <c r="AA582" s="6">
        <f t="shared" si="88"/>
        <v>-4.0000000000190994E-3</v>
      </c>
      <c r="AB582">
        <f t="shared" si="89"/>
        <v>0.37322449136018926</v>
      </c>
      <c r="AC582" t="s">
        <v>155</v>
      </c>
      <c r="AD582" t="s">
        <v>103</v>
      </c>
      <c r="AE582" t="s">
        <v>2826</v>
      </c>
      <c r="AF582" s="10" t="s">
        <v>2816</v>
      </c>
    </row>
    <row r="583" spans="1:32">
      <c r="A583" t="s">
        <v>1835</v>
      </c>
      <c r="B583" s="3">
        <v>45908</v>
      </c>
      <c r="C583" t="str">
        <f t="shared" si="82"/>
        <v>September</v>
      </c>
      <c r="D583">
        <f t="shared" si="83"/>
        <v>2025</v>
      </c>
      <c r="E583" s="3">
        <v>45879</v>
      </c>
      <c r="F583">
        <f t="shared" si="81"/>
        <v>-29</v>
      </c>
      <c r="G583" t="s">
        <v>1836</v>
      </c>
      <c r="H583" t="s">
        <v>79</v>
      </c>
      <c r="I583" t="s">
        <v>24</v>
      </c>
      <c r="J583" t="s">
        <v>25</v>
      </c>
      <c r="K583" t="s">
        <v>350</v>
      </c>
      <c r="L583" t="s">
        <v>351</v>
      </c>
      <c r="M583" t="s">
        <v>28</v>
      </c>
      <c r="N583" t="s">
        <v>48</v>
      </c>
      <c r="O583" t="s">
        <v>1837</v>
      </c>
      <c r="P583" t="s">
        <v>31</v>
      </c>
      <c r="Q583">
        <v>4</v>
      </c>
      <c r="R583">
        <v>4080.95</v>
      </c>
      <c r="S583" s="6">
        <v>0</v>
      </c>
      <c r="T583" s="6">
        <f t="shared" si="84"/>
        <v>0</v>
      </c>
      <c r="U583">
        <v>16323.8</v>
      </c>
      <c r="V583">
        <f t="shared" si="85"/>
        <v>16323.8</v>
      </c>
      <c r="W583" s="6">
        <f t="shared" si="86"/>
        <v>0</v>
      </c>
      <c r="X583">
        <v>9965.7900000000009</v>
      </c>
      <c r="Y583">
        <v>6358.01</v>
      </c>
      <c r="Z583">
        <f t="shared" si="87"/>
        <v>6358.0099999999984</v>
      </c>
      <c r="AA583" s="6">
        <f t="shared" si="88"/>
        <v>0</v>
      </c>
      <c r="AB583">
        <f t="shared" si="89"/>
        <v>0.38949325524693995</v>
      </c>
      <c r="AC583" t="s">
        <v>102</v>
      </c>
      <c r="AD583" t="s">
        <v>103</v>
      </c>
      <c r="AE583" t="s">
        <v>2826</v>
      </c>
      <c r="AF583" s="10" t="s">
        <v>2812</v>
      </c>
    </row>
    <row r="584" spans="1:32">
      <c r="A584" t="s">
        <v>1838</v>
      </c>
      <c r="B584" s="3">
        <v>45580</v>
      </c>
      <c r="C584" t="str">
        <f t="shared" si="82"/>
        <v>October</v>
      </c>
      <c r="D584">
        <f t="shared" si="83"/>
        <v>2024</v>
      </c>
      <c r="E584" s="3">
        <v>45585</v>
      </c>
      <c r="F584">
        <f t="shared" si="81"/>
        <v>5</v>
      </c>
      <c r="G584" t="s">
        <v>1839</v>
      </c>
      <c r="H584" t="s">
        <v>62</v>
      </c>
      <c r="I584" t="s">
        <v>24</v>
      </c>
      <c r="J584" t="s">
        <v>38</v>
      </c>
      <c r="K584" t="s">
        <v>39</v>
      </c>
      <c r="L584" t="s">
        <v>40</v>
      </c>
      <c r="M584" t="s">
        <v>28</v>
      </c>
      <c r="N584" t="s">
        <v>48</v>
      </c>
      <c r="O584" t="s">
        <v>1840</v>
      </c>
      <c r="P584" t="s">
        <v>50</v>
      </c>
      <c r="Q584">
        <v>5</v>
      </c>
      <c r="R584">
        <v>671.24</v>
      </c>
      <c r="S584" s="6">
        <v>0</v>
      </c>
      <c r="T584" s="6">
        <f t="shared" si="84"/>
        <v>0</v>
      </c>
      <c r="U584">
        <v>3356.2</v>
      </c>
      <c r="V584">
        <f t="shared" si="85"/>
        <v>3356.2</v>
      </c>
      <c r="W584" s="6">
        <f t="shared" si="86"/>
        <v>0</v>
      </c>
      <c r="X584">
        <v>2205.7199999999998</v>
      </c>
      <c r="Y584">
        <v>1150.48</v>
      </c>
      <c r="Z584">
        <f t="shared" si="87"/>
        <v>1150.48</v>
      </c>
      <c r="AA584" s="6">
        <f t="shared" si="88"/>
        <v>0</v>
      </c>
      <c r="AB584">
        <f t="shared" si="89"/>
        <v>0.34279244383528995</v>
      </c>
      <c r="AC584" t="s">
        <v>111</v>
      </c>
      <c r="AD584" t="s">
        <v>103</v>
      </c>
      <c r="AE584" t="s">
        <v>2827</v>
      </c>
      <c r="AF584" t="s">
        <v>2814</v>
      </c>
    </row>
    <row r="585" spans="1:32">
      <c r="A585" t="s">
        <v>1841</v>
      </c>
      <c r="B585" s="3">
        <v>45350</v>
      </c>
      <c r="C585" t="str">
        <f t="shared" si="82"/>
        <v>February</v>
      </c>
      <c r="D585">
        <f t="shared" si="83"/>
        <v>2024</v>
      </c>
      <c r="E585" s="3">
        <v>45350</v>
      </c>
      <c r="F585">
        <f t="shared" si="81"/>
        <v>0</v>
      </c>
      <c r="G585" t="s">
        <v>1842</v>
      </c>
      <c r="H585" t="s">
        <v>141</v>
      </c>
      <c r="I585" t="s">
        <v>37</v>
      </c>
      <c r="J585" t="s">
        <v>38</v>
      </c>
      <c r="K585" t="s">
        <v>99</v>
      </c>
      <c r="L585" t="s">
        <v>100</v>
      </c>
      <c r="M585" t="s">
        <v>28</v>
      </c>
      <c r="N585" t="s">
        <v>124</v>
      </c>
      <c r="O585" t="s">
        <v>1843</v>
      </c>
      <c r="P585" t="s">
        <v>50</v>
      </c>
      <c r="Q585">
        <v>1</v>
      </c>
      <c r="R585">
        <v>2626.84</v>
      </c>
      <c r="S585" s="6">
        <v>0.2</v>
      </c>
      <c r="T585" s="6">
        <f t="shared" si="84"/>
        <v>0.2</v>
      </c>
      <c r="U585">
        <v>2101.4699999999998</v>
      </c>
      <c r="V585">
        <f t="shared" si="85"/>
        <v>2101.4720000000002</v>
      </c>
      <c r="W585" s="6">
        <f t="shared" si="86"/>
        <v>2.0000000004074536E-3</v>
      </c>
      <c r="X585">
        <v>1217.83</v>
      </c>
      <c r="Y585">
        <v>883.64</v>
      </c>
      <c r="Z585">
        <f t="shared" si="87"/>
        <v>883.64200000000028</v>
      </c>
      <c r="AA585" s="6">
        <f t="shared" si="88"/>
        <v>2.0000000002937668E-3</v>
      </c>
      <c r="AB585">
        <f t="shared" si="89"/>
        <v>0.42048716328364127</v>
      </c>
      <c r="AC585" t="s">
        <v>155</v>
      </c>
      <c r="AD585" t="s">
        <v>103</v>
      </c>
      <c r="AE585" t="s">
        <v>2827</v>
      </c>
      <c r="AF585" s="10" t="s">
        <v>2821</v>
      </c>
    </row>
    <row r="586" spans="1:32">
      <c r="A586" t="s">
        <v>1844</v>
      </c>
      <c r="B586" s="3">
        <v>45508</v>
      </c>
      <c r="C586" t="str">
        <f t="shared" si="82"/>
        <v>August</v>
      </c>
      <c r="D586">
        <f t="shared" si="83"/>
        <v>2024</v>
      </c>
      <c r="E586" s="3">
        <v>45573</v>
      </c>
      <c r="F586">
        <f t="shared" si="81"/>
        <v>65</v>
      </c>
      <c r="G586" t="s">
        <v>1845</v>
      </c>
      <c r="H586" t="s">
        <v>71</v>
      </c>
      <c r="I586" t="s">
        <v>24</v>
      </c>
      <c r="J586" t="s">
        <v>38</v>
      </c>
      <c r="K586" t="s">
        <v>145</v>
      </c>
      <c r="L586" t="s">
        <v>146</v>
      </c>
      <c r="M586" t="s">
        <v>28</v>
      </c>
      <c r="N586" t="s">
        <v>48</v>
      </c>
      <c r="O586" t="s">
        <v>1846</v>
      </c>
      <c r="P586" t="s">
        <v>44</v>
      </c>
      <c r="Q586">
        <v>1</v>
      </c>
      <c r="R586">
        <v>984.93</v>
      </c>
      <c r="S586" s="6">
        <v>0.15</v>
      </c>
      <c r="T586" s="6">
        <f t="shared" si="84"/>
        <v>0.15</v>
      </c>
      <c r="U586">
        <v>837.19</v>
      </c>
      <c r="V586">
        <f t="shared" si="85"/>
        <v>837.19049999999993</v>
      </c>
      <c r="W586" s="6">
        <f t="shared" si="86"/>
        <v>4.9999999987448973E-4</v>
      </c>
      <c r="X586">
        <v>583.79</v>
      </c>
      <c r="Y586">
        <v>253.4</v>
      </c>
      <c r="Z586">
        <f t="shared" si="87"/>
        <v>253.40049999999997</v>
      </c>
      <c r="AA586" s="6">
        <f t="shared" si="88"/>
        <v>4.9999999995975486E-4</v>
      </c>
      <c r="AB586">
        <f t="shared" si="89"/>
        <v>0.30267961712417901</v>
      </c>
      <c r="AC586" t="s">
        <v>111</v>
      </c>
      <c r="AD586" t="s">
        <v>103</v>
      </c>
      <c r="AE586" t="s">
        <v>2827</v>
      </c>
      <c r="AF586" t="s">
        <v>2814</v>
      </c>
    </row>
    <row r="587" spans="1:32">
      <c r="A587" t="s">
        <v>1847</v>
      </c>
      <c r="B587" s="3">
        <v>45830</v>
      </c>
      <c r="C587" t="str">
        <f t="shared" si="82"/>
        <v>June</v>
      </c>
      <c r="D587">
        <f t="shared" si="83"/>
        <v>2025</v>
      </c>
      <c r="E587" s="3">
        <v>45833</v>
      </c>
      <c r="F587">
        <f t="shared" si="81"/>
        <v>3</v>
      </c>
      <c r="G587" t="s">
        <v>1848</v>
      </c>
      <c r="H587" t="s">
        <v>162</v>
      </c>
      <c r="I587" t="s">
        <v>37</v>
      </c>
      <c r="J587" t="s">
        <v>63</v>
      </c>
      <c r="K587" t="s">
        <v>64</v>
      </c>
      <c r="L587" t="s">
        <v>65</v>
      </c>
      <c r="M587" t="s">
        <v>74</v>
      </c>
      <c r="N587" t="s">
        <v>171</v>
      </c>
      <c r="O587" t="s">
        <v>1849</v>
      </c>
      <c r="P587" t="s">
        <v>50</v>
      </c>
      <c r="Q587">
        <v>8</v>
      </c>
      <c r="R587">
        <v>3453.66</v>
      </c>
      <c r="S587" s="6">
        <v>0</v>
      </c>
      <c r="T587" s="6">
        <f t="shared" si="84"/>
        <v>0</v>
      </c>
      <c r="U587">
        <v>27629.279999999999</v>
      </c>
      <c r="V587">
        <f t="shared" si="85"/>
        <v>27629.279999999999</v>
      </c>
      <c r="W587" s="6">
        <f t="shared" si="86"/>
        <v>0</v>
      </c>
      <c r="X587">
        <v>22026.48</v>
      </c>
      <c r="Y587">
        <v>5602.8</v>
      </c>
      <c r="Z587">
        <f t="shared" si="87"/>
        <v>5602.7999999999993</v>
      </c>
      <c r="AA587" s="6">
        <f t="shared" si="88"/>
        <v>0</v>
      </c>
      <c r="AB587">
        <f t="shared" si="89"/>
        <v>0.20278487170132553</v>
      </c>
      <c r="AC587" t="s">
        <v>32</v>
      </c>
      <c r="AD587" t="s">
        <v>33</v>
      </c>
      <c r="AE587" t="s">
        <v>2828</v>
      </c>
    </row>
    <row r="588" spans="1:32">
      <c r="A588" t="s">
        <v>1850</v>
      </c>
      <c r="B588" s="3">
        <v>45995</v>
      </c>
      <c r="C588" t="str">
        <f t="shared" si="82"/>
        <v>December</v>
      </c>
      <c r="D588">
        <f t="shared" si="83"/>
        <v>2025</v>
      </c>
      <c r="E588" s="3">
        <v>45995</v>
      </c>
      <c r="F588">
        <f t="shared" si="81"/>
        <v>0</v>
      </c>
      <c r="G588" t="s">
        <v>1851</v>
      </c>
      <c r="H588" t="s">
        <v>36</v>
      </c>
      <c r="I588" t="s">
        <v>95</v>
      </c>
      <c r="J588" t="s">
        <v>25</v>
      </c>
      <c r="K588" t="s">
        <v>122</v>
      </c>
      <c r="L588" t="s">
        <v>123</v>
      </c>
      <c r="M588" t="s">
        <v>28</v>
      </c>
      <c r="N588" t="s">
        <v>153</v>
      </c>
      <c r="O588" t="s">
        <v>1852</v>
      </c>
      <c r="P588" t="s">
        <v>31</v>
      </c>
      <c r="Q588">
        <v>7</v>
      </c>
      <c r="R588">
        <v>1334.2</v>
      </c>
      <c r="S588" s="6">
        <v>0.2</v>
      </c>
      <c r="T588" s="6">
        <f t="shared" si="84"/>
        <v>0.2</v>
      </c>
      <c r="U588">
        <v>7471.52</v>
      </c>
      <c r="V588">
        <f t="shared" si="85"/>
        <v>7471.52</v>
      </c>
      <c r="W588" s="6">
        <f t="shared" si="86"/>
        <v>0</v>
      </c>
      <c r="X588">
        <v>6184.32</v>
      </c>
      <c r="Y588">
        <v>1287.2</v>
      </c>
      <c r="Z588">
        <f t="shared" si="87"/>
        <v>1287.2000000000007</v>
      </c>
      <c r="AA588" s="6">
        <f t="shared" si="88"/>
        <v>0</v>
      </c>
      <c r="AB588">
        <f t="shared" si="89"/>
        <v>0.17228087457438387</v>
      </c>
      <c r="AC588" t="s">
        <v>32</v>
      </c>
      <c r="AD588" t="s">
        <v>33</v>
      </c>
      <c r="AE588" t="s">
        <v>2828</v>
      </c>
    </row>
    <row r="589" spans="1:32">
      <c r="A589" t="s">
        <v>1853</v>
      </c>
      <c r="B589" s="3">
        <v>45861</v>
      </c>
      <c r="C589" t="str">
        <f t="shared" si="82"/>
        <v>July</v>
      </c>
      <c r="D589">
        <f t="shared" si="83"/>
        <v>2025</v>
      </c>
      <c r="E589" s="3">
        <v>45869</v>
      </c>
      <c r="F589">
        <f t="shared" si="81"/>
        <v>8</v>
      </c>
      <c r="G589" t="s">
        <v>1854</v>
      </c>
      <c r="H589" t="s">
        <v>264</v>
      </c>
      <c r="I589" t="s">
        <v>95</v>
      </c>
      <c r="J589" t="s">
        <v>63</v>
      </c>
      <c r="K589" t="s">
        <v>72</v>
      </c>
      <c r="L589" t="s">
        <v>73</v>
      </c>
      <c r="M589" t="s">
        <v>74</v>
      </c>
      <c r="N589" t="s">
        <v>75</v>
      </c>
      <c r="O589" t="s">
        <v>1855</v>
      </c>
      <c r="P589" t="s">
        <v>50</v>
      </c>
      <c r="Q589">
        <v>1</v>
      </c>
      <c r="R589">
        <v>4253.84</v>
      </c>
      <c r="S589" s="6">
        <v>0.15</v>
      </c>
      <c r="T589" s="6">
        <f t="shared" si="84"/>
        <v>0.15</v>
      </c>
      <c r="U589">
        <v>3615.76</v>
      </c>
      <c r="V589">
        <f t="shared" si="85"/>
        <v>3615.7640000000001</v>
      </c>
      <c r="W589" s="6">
        <f t="shared" si="86"/>
        <v>3.9999999999054126E-3</v>
      </c>
      <c r="X589">
        <v>2951.52</v>
      </c>
      <c r="Y589">
        <v>664.24</v>
      </c>
      <c r="Z589">
        <f t="shared" si="87"/>
        <v>664.24400000000014</v>
      </c>
      <c r="AA589" s="6">
        <f t="shared" si="88"/>
        <v>4.0000000001327862E-3</v>
      </c>
      <c r="AB589">
        <f t="shared" si="89"/>
        <v>0.18370778623826114</v>
      </c>
      <c r="AC589" t="s">
        <v>102</v>
      </c>
      <c r="AD589" t="s">
        <v>68</v>
      </c>
      <c r="AE589" t="s">
        <v>2827</v>
      </c>
      <c r="AF589" t="s">
        <v>2808</v>
      </c>
    </row>
    <row r="590" spans="1:32">
      <c r="A590" t="s">
        <v>1856</v>
      </c>
      <c r="B590" s="3">
        <v>45964</v>
      </c>
      <c r="C590" t="str">
        <f t="shared" si="82"/>
        <v>November</v>
      </c>
      <c r="D590">
        <f t="shared" si="83"/>
        <v>2025</v>
      </c>
      <c r="E590" s="3">
        <v>45731</v>
      </c>
      <c r="F590">
        <f t="shared" si="81"/>
        <v>-233</v>
      </c>
      <c r="G590" t="s">
        <v>1857</v>
      </c>
      <c r="H590" t="s">
        <v>128</v>
      </c>
      <c r="I590" t="s">
        <v>95</v>
      </c>
      <c r="J590" t="s">
        <v>54</v>
      </c>
      <c r="K590" t="s">
        <v>175</v>
      </c>
      <c r="L590" t="s">
        <v>176</v>
      </c>
      <c r="M590" t="s">
        <v>74</v>
      </c>
      <c r="N590" t="s">
        <v>75</v>
      </c>
      <c r="O590" t="s">
        <v>1858</v>
      </c>
      <c r="P590" t="s">
        <v>31</v>
      </c>
      <c r="Q590">
        <v>8</v>
      </c>
      <c r="R590">
        <v>4446.3599999999997</v>
      </c>
      <c r="S590" s="6">
        <v>0.1</v>
      </c>
      <c r="T590" s="6">
        <f t="shared" si="84"/>
        <v>0.1</v>
      </c>
      <c r="U590">
        <v>32013.79</v>
      </c>
      <c r="V590">
        <f t="shared" si="85"/>
        <v>32013.791999999998</v>
      </c>
      <c r="W590" s="6">
        <f t="shared" si="86"/>
        <v>1.9999999967694748E-3</v>
      </c>
      <c r="X590">
        <v>20896.88</v>
      </c>
      <c r="Y590">
        <v>11116.91</v>
      </c>
      <c r="Z590">
        <f t="shared" si="87"/>
        <v>11116.911999999997</v>
      </c>
      <c r="AA590" s="6">
        <f t="shared" si="88"/>
        <v>1.9999999967694748E-3</v>
      </c>
      <c r="AB590">
        <f t="shared" si="89"/>
        <v>0.34725383359771933</v>
      </c>
      <c r="AC590" t="s">
        <v>102</v>
      </c>
      <c r="AD590" t="s">
        <v>68</v>
      </c>
      <c r="AE590" t="s">
        <v>2826</v>
      </c>
      <c r="AF590" s="10" t="s">
        <v>2813</v>
      </c>
    </row>
    <row r="591" spans="1:32">
      <c r="A591" t="s">
        <v>1859</v>
      </c>
      <c r="B591" s="3">
        <v>45455</v>
      </c>
      <c r="C591" t="str">
        <f t="shared" si="82"/>
        <v>June</v>
      </c>
      <c r="D591">
        <f t="shared" si="83"/>
        <v>2024</v>
      </c>
      <c r="E591" s="3">
        <v>45638</v>
      </c>
      <c r="F591">
        <f t="shared" si="81"/>
        <v>183</v>
      </c>
      <c r="G591" t="s">
        <v>1860</v>
      </c>
      <c r="H591" t="s">
        <v>141</v>
      </c>
      <c r="I591" t="s">
        <v>90</v>
      </c>
      <c r="J591" t="s">
        <v>25</v>
      </c>
      <c r="K591" t="s">
        <v>136</v>
      </c>
      <c r="L591" t="s">
        <v>137</v>
      </c>
      <c r="M591" t="s">
        <v>74</v>
      </c>
      <c r="N591" t="s">
        <v>171</v>
      </c>
      <c r="O591" t="s">
        <v>1861</v>
      </c>
      <c r="P591" t="s">
        <v>50</v>
      </c>
      <c r="Q591">
        <v>3</v>
      </c>
      <c r="R591">
        <v>524.75</v>
      </c>
      <c r="S591" s="6">
        <v>0</v>
      </c>
      <c r="T591" s="6">
        <f t="shared" si="84"/>
        <v>0</v>
      </c>
      <c r="U591">
        <v>1574.25</v>
      </c>
      <c r="V591">
        <f t="shared" si="85"/>
        <v>1574.25</v>
      </c>
      <c r="W591" s="6">
        <f t="shared" si="86"/>
        <v>0</v>
      </c>
      <c r="X591">
        <v>1326.12</v>
      </c>
      <c r="Y591">
        <v>248.13</v>
      </c>
      <c r="Z591">
        <f t="shared" si="87"/>
        <v>248.13000000000011</v>
      </c>
      <c r="AA591" s="6">
        <f t="shared" si="88"/>
        <v>0</v>
      </c>
      <c r="AB591">
        <f t="shared" si="89"/>
        <v>0.15761791329204389</v>
      </c>
      <c r="AC591" t="s">
        <v>32</v>
      </c>
      <c r="AD591" t="s">
        <v>33</v>
      </c>
      <c r="AE591" t="s">
        <v>2828</v>
      </c>
    </row>
    <row r="592" spans="1:32">
      <c r="A592" t="s">
        <v>1862</v>
      </c>
      <c r="B592" s="3">
        <v>45441</v>
      </c>
      <c r="C592" t="str">
        <f t="shared" si="82"/>
        <v>May</v>
      </c>
      <c r="D592">
        <f t="shared" si="83"/>
        <v>2024</v>
      </c>
      <c r="E592" s="3">
        <v>45441</v>
      </c>
      <c r="F592">
        <f t="shared" si="81"/>
        <v>0</v>
      </c>
      <c r="G592" t="s">
        <v>1863</v>
      </c>
      <c r="H592" t="s">
        <v>128</v>
      </c>
      <c r="I592" t="s">
        <v>95</v>
      </c>
      <c r="J592" t="s">
        <v>25</v>
      </c>
      <c r="K592" t="s">
        <v>350</v>
      </c>
      <c r="L592" t="s">
        <v>351</v>
      </c>
      <c r="M592" t="s">
        <v>41</v>
      </c>
      <c r="N592" t="s">
        <v>66</v>
      </c>
      <c r="O592" t="s">
        <v>1864</v>
      </c>
      <c r="P592" t="s">
        <v>44</v>
      </c>
      <c r="Q592">
        <v>6</v>
      </c>
      <c r="R592">
        <v>3430.35</v>
      </c>
      <c r="S592" s="6">
        <v>0</v>
      </c>
      <c r="T592" s="6">
        <f t="shared" si="84"/>
        <v>0</v>
      </c>
      <c r="U592">
        <v>20582.099999999999</v>
      </c>
      <c r="V592">
        <f t="shared" si="85"/>
        <v>20582.099999999999</v>
      </c>
      <c r="W592" s="6">
        <f t="shared" si="86"/>
        <v>0</v>
      </c>
      <c r="X592">
        <v>15897.65</v>
      </c>
      <c r="Y592">
        <v>4684.45</v>
      </c>
      <c r="Z592">
        <f t="shared" si="87"/>
        <v>4684.4499999999989</v>
      </c>
      <c r="AA592" s="6">
        <f t="shared" si="88"/>
        <v>0</v>
      </c>
      <c r="AB592">
        <f t="shared" si="89"/>
        <v>0.22759825285077806</v>
      </c>
      <c r="AC592" t="s">
        <v>111</v>
      </c>
      <c r="AD592" t="s">
        <v>68</v>
      </c>
      <c r="AE592" t="s">
        <v>2827</v>
      </c>
      <c r="AF592" t="s">
        <v>2804</v>
      </c>
    </row>
    <row r="593" spans="1:32">
      <c r="A593" t="s">
        <v>1865</v>
      </c>
      <c r="B593" s="3">
        <v>45344</v>
      </c>
      <c r="C593" t="str">
        <f t="shared" si="82"/>
        <v>February</v>
      </c>
      <c r="D593">
        <f t="shared" si="83"/>
        <v>2024</v>
      </c>
      <c r="E593" s="3">
        <v>45346</v>
      </c>
      <c r="F593">
        <f t="shared" si="81"/>
        <v>2</v>
      </c>
      <c r="G593" t="s">
        <v>1866</v>
      </c>
      <c r="H593" t="s">
        <v>132</v>
      </c>
      <c r="I593" t="s">
        <v>24</v>
      </c>
      <c r="J593" t="s">
        <v>54</v>
      </c>
      <c r="K593" t="s">
        <v>175</v>
      </c>
      <c r="L593" t="s">
        <v>176</v>
      </c>
      <c r="M593" t="s">
        <v>74</v>
      </c>
      <c r="N593" t="s">
        <v>80</v>
      </c>
      <c r="O593" t="s">
        <v>1867</v>
      </c>
      <c r="P593" t="s">
        <v>50</v>
      </c>
      <c r="Q593">
        <v>3</v>
      </c>
      <c r="R593">
        <v>3545.08</v>
      </c>
      <c r="S593" s="6">
        <v>0</v>
      </c>
      <c r="T593" s="6">
        <f t="shared" si="84"/>
        <v>0</v>
      </c>
      <c r="U593">
        <v>10635.24</v>
      </c>
      <c r="V593">
        <f t="shared" si="85"/>
        <v>10635.24</v>
      </c>
      <c r="W593" s="6">
        <f t="shared" si="86"/>
        <v>0</v>
      </c>
      <c r="X593">
        <v>6031.88</v>
      </c>
      <c r="Y593">
        <v>4603.3599999999997</v>
      </c>
      <c r="Z593">
        <f t="shared" si="87"/>
        <v>4603.3599999999997</v>
      </c>
      <c r="AA593" s="6">
        <f t="shared" si="88"/>
        <v>0</v>
      </c>
      <c r="AB593">
        <f t="shared" si="89"/>
        <v>0.43284025560307055</v>
      </c>
      <c r="AC593" t="s">
        <v>155</v>
      </c>
      <c r="AD593" t="s">
        <v>103</v>
      </c>
      <c r="AE593" t="s">
        <v>2827</v>
      </c>
      <c r="AF593" s="10" t="s">
        <v>2821</v>
      </c>
    </row>
    <row r="594" spans="1:32">
      <c r="A594" t="s">
        <v>1868</v>
      </c>
      <c r="B594" s="3">
        <v>45385</v>
      </c>
      <c r="C594" t="str">
        <f t="shared" si="82"/>
        <v>April</v>
      </c>
      <c r="D594">
        <f t="shared" si="83"/>
        <v>2024</v>
      </c>
      <c r="E594" s="3">
        <v>45538</v>
      </c>
      <c r="F594">
        <f t="shared" si="81"/>
        <v>153</v>
      </c>
      <c r="G594" t="s">
        <v>1869</v>
      </c>
      <c r="H594" t="s">
        <v>36</v>
      </c>
      <c r="I594" t="s">
        <v>24</v>
      </c>
      <c r="J594" t="s">
        <v>38</v>
      </c>
      <c r="K594" t="s">
        <v>99</v>
      </c>
      <c r="L594" t="s">
        <v>100</v>
      </c>
      <c r="M594" t="s">
        <v>74</v>
      </c>
      <c r="N594" t="s">
        <v>75</v>
      </c>
      <c r="O594" t="s">
        <v>1870</v>
      </c>
      <c r="P594" t="s">
        <v>44</v>
      </c>
      <c r="Q594">
        <v>8</v>
      </c>
      <c r="R594">
        <v>4401.41</v>
      </c>
      <c r="S594" s="6">
        <v>0.15</v>
      </c>
      <c r="T594" s="6">
        <f t="shared" si="84"/>
        <v>0.15</v>
      </c>
      <c r="U594">
        <v>29929.59</v>
      </c>
      <c r="V594">
        <f t="shared" si="85"/>
        <v>29929.588</v>
      </c>
      <c r="W594" s="6">
        <f t="shared" si="86"/>
        <v>-2.0000000004074536E-3</v>
      </c>
      <c r="X594">
        <v>22436.03</v>
      </c>
      <c r="Y594">
        <v>7493.56</v>
      </c>
      <c r="Z594">
        <f t="shared" si="87"/>
        <v>7493.5580000000009</v>
      </c>
      <c r="AA594" s="6">
        <f t="shared" si="88"/>
        <v>-1.9999999994979589E-3</v>
      </c>
      <c r="AB594">
        <f t="shared" si="89"/>
        <v>0.25037290857461858</v>
      </c>
      <c r="AC594" t="s">
        <v>32</v>
      </c>
      <c r="AD594" t="s">
        <v>33</v>
      </c>
      <c r="AE594" t="s">
        <v>2828</v>
      </c>
    </row>
    <row r="595" spans="1:32">
      <c r="A595" t="s">
        <v>1871</v>
      </c>
      <c r="B595" s="3">
        <v>45927</v>
      </c>
      <c r="C595" t="str">
        <f t="shared" si="82"/>
        <v>September</v>
      </c>
      <c r="D595">
        <f t="shared" si="83"/>
        <v>2025</v>
      </c>
      <c r="E595" s="3">
        <v>45929</v>
      </c>
      <c r="F595">
        <f t="shared" si="81"/>
        <v>2</v>
      </c>
      <c r="G595" t="s">
        <v>1663</v>
      </c>
      <c r="H595" t="s">
        <v>53</v>
      </c>
      <c r="I595" t="s">
        <v>95</v>
      </c>
      <c r="J595" t="s">
        <v>25</v>
      </c>
      <c r="K595" t="s">
        <v>136</v>
      </c>
      <c r="L595" t="s">
        <v>137</v>
      </c>
      <c r="M595" t="s">
        <v>41</v>
      </c>
      <c r="N595" t="s">
        <v>42</v>
      </c>
      <c r="O595" t="s">
        <v>1872</v>
      </c>
      <c r="P595" t="s">
        <v>31</v>
      </c>
      <c r="Q595">
        <v>9</v>
      </c>
      <c r="R595">
        <v>4100.1099999999997</v>
      </c>
      <c r="S595" s="6">
        <v>0.25</v>
      </c>
      <c r="T595" s="6">
        <f t="shared" si="84"/>
        <v>0.25</v>
      </c>
      <c r="U595">
        <v>27675.74</v>
      </c>
      <c r="V595">
        <f t="shared" si="85"/>
        <v>27675.7425</v>
      </c>
      <c r="W595" s="6">
        <f t="shared" si="86"/>
        <v>2.4999999986903276E-3</v>
      </c>
      <c r="X595">
        <v>15571.08</v>
      </c>
      <c r="Y595">
        <v>12104.66</v>
      </c>
      <c r="Z595">
        <f t="shared" si="87"/>
        <v>12104.6625</v>
      </c>
      <c r="AA595" s="6">
        <f t="shared" si="88"/>
        <v>2.500000000509317E-3</v>
      </c>
      <c r="AB595">
        <f t="shared" si="89"/>
        <v>0.4373744444254748</v>
      </c>
      <c r="AC595" t="s">
        <v>32</v>
      </c>
      <c r="AD595" t="s">
        <v>33</v>
      </c>
      <c r="AE595" t="s">
        <v>2828</v>
      </c>
    </row>
    <row r="596" spans="1:32">
      <c r="A596" t="s">
        <v>1873</v>
      </c>
      <c r="B596" s="3">
        <v>45554</v>
      </c>
      <c r="C596" t="str">
        <f t="shared" si="82"/>
        <v>September</v>
      </c>
      <c r="D596">
        <f t="shared" si="83"/>
        <v>2024</v>
      </c>
      <c r="E596" s="3">
        <v>45556</v>
      </c>
      <c r="F596">
        <f t="shared" si="81"/>
        <v>2</v>
      </c>
      <c r="G596" t="s">
        <v>1874</v>
      </c>
      <c r="H596" t="s">
        <v>23</v>
      </c>
      <c r="I596" t="s">
        <v>37</v>
      </c>
      <c r="J596" t="s">
        <v>38</v>
      </c>
      <c r="K596" t="s">
        <v>99</v>
      </c>
      <c r="L596" t="s">
        <v>100</v>
      </c>
      <c r="M596" t="s">
        <v>41</v>
      </c>
      <c r="N596" t="s">
        <v>66</v>
      </c>
      <c r="O596" t="s">
        <v>1875</v>
      </c>
      <c r="P596" t="s">
        <v>50</v>
      </c>
      <c r="Q596">
        <v>3</v>
      </c>
      <c r="R596">
        <v>3981.76</v>
      </c>
      <c r="S596" s="6">
        <v>0</v>
      </c>
      <c r="T596" s="6">
        <f t="shared" si="84"/>
        <v>0</v>
      </c>
      <c r="U596">
        <v>11945.28</v>
      </c>
      <c r="V596">
        <f t="shared" si="85"/>
        <v>11945.28</v>
      </c>
      <c r="W596" s="6">
        <f t="shared" si="86"/>
        <v>0</v>
      </c>
      <c r="X596">
        <v>9700.31</v>
      </c>
      <c r="Y596">
        <v>2244.9699999999998</v>
      </c>
      <c r="Z596">
        <f t="shared" si="87"/>
        <v>2244.9700000000012</v>
      </c>
      <c r="AA596" s="6">
        <f t="shared" si="88"/>
        <v>0</v>
      </c>
      <c r="AB596">
        <f t="shared" si="89"/>
        <v>0.18793782983739193</v>
      </c>
      <c r="AC596" t="s">
        <v>32</v>
      </c>
      <c r="AD596" t="s">
        <v>33</v>
      </c>
      <c r="AE596" t="s">
        <v>2828</v>
      </c>
    </row>
    <row r="597" spans="1:32">
      <c r="A597" t="s">
        <v>1876</v>
      </c>
      <c r="B597" s="3">
        <v>45699</v>
      </c>
      <c r="C597" t="str">
        <f t="shared" si="82"/>
        <v>February</v>
      </c>
      <c r="D597">
        <f t="shared" si="83"/>
        <v>2025</v>
      </c>
      <c r="E597" s="3">
        <v>45704</v>
      </c>
      <c r="F597">
        <f t="shared" si="81"/>
        <v>5</v>
      </c>
      <c r="G597" t="s">
        <v>1877</v>
      </c>
      <c r="H597" t="s">
        <v>36</v>
      </c>
      <c r="I597" t="s">
        <v>90</v>
      </c>
      <c r="J597" t="s">
        <v>25</v>
      </c>
      <c r="K597" t="s">
        <v>136</v>
      </c>
      <c r="L597" t="s">
        <v>137</v>
      </c>
      <c r="M597" t="s">
        <v>74</v>
      </c>
      <c r="N597" t="s">
        <v>171</v>
      </c>
      <c r="O597" t="s">
        <v>1878</v>
      </c>
      <c r="P597" t="s">
        <v>50</v>
      </c>
      <c r="Q597">
        <v>8</v>
      </c>
      <c r="R597">
        <v>1825.56</v>
      </c>
      <c r="S597" s="6">
        <v>0.1</v>
      </c>
      <c r="T597" s="6">
        <f t="shared" si="84"/>
        <v>0.1</v>
      </c>
      <c r="U597">
        <v>13144.03</v>
      </c>
      <c r="V597">
        <f t="shared" si="85"/>
        <v>13144.031999999999</v>
      </c>
      <c r="W597" s="6">
        <f t="shared" si="86"/>
        <v>1.9999999985884642E-3</v>
      </c>
      <c r="X597">
        <v>9764</v>
      </c>
      <c r="Y597">
        <v>3380.03</v>
      </c>
      <c r="Z597">
        <f t="shared" si="87"/>
        <v>3380.0319999999992</v>
      </c>
      <c r="AA597" s="6">
        <f t="shared" si="88"/>
        <v>1.9999999990432116E-3</v>
      </c>
      <c r="AB597">
        <f t="shared" si="89"/>
        <v>0.25715336055176974</v>
      </c>
      <c r="AC597" t="s">
        <v>32</v>
      </c>
      <c r="AD597" t="s">
        <v>33</v>
      </c>
      <c r="AE597" t="s">
        <v>2828</v>
      </c>
    </row>
    <row r="598" spans="1:32">
      <c r="A598" t="s">
        <v>1879</v>
      </c>
      <c r="B598" s="3">
        <v>45569</v>
      </c>
      <c r="C598" t="str">
        <f t="shared" si="82"/>
        <v>October</v>
      </c>
      <c r="D598">
        <f t="shared" si="83"/>
        <v>2024</v>
      </c>
      <c r="E598" s="3">
        <v>45398</v>
      </c>
      <c r="F598">
        <f t="shared" si="81"/>
        <v>-171</v>
      </c>
      <c r="G598" t="s">
        <v>1880</v>
      </c>
      <c r="H598" t="s">
        <v>89</v>
      </c>
      <c r="I598" t="s">
        <v>24</v>
      </c>
      <c r="J598" t="s">
        <v>54</v>
      </c>
      <c r="K598" t="s">
        <v>185</v>
      </c>
      <c r="L598" t="s">
        <v>186</v>
      </c>
      <c r="M598" t="s">
        <v>41</v>
      </c>
      <c r="N598" t="s">
        <v>66</v>
      </c>
      <c r="O598" t="s">
        <v>1881</v>
      </c>
      <c r="P598" t="s">
        <v>31</v>
      </c>
      <c r="Q598">
        <v>9</v>
      </c>
      <c r="R598">
        <v>2723.26</v>
      </c>
      <c r="S598" s="6">
        <v>0.25</v>
      </c>
      <c r="T598" s="6">
        <f t="shared" si="84"/>
        <v>0.25</v>
      </c>
      <c r="U598">
        <v>18382.009999999998</v>
      </c>
      <c r="V598">
        <f t="shared" si="85"/>
        <v>18382.005000000005</v>
      </c>
      <c r="W598" s="6">
        <f t="shared" si="86"/>
        <v>-4.9999999937426765E-3</v>
      </c>
      <c r="X598">
        <v>13108.2</v>
      </c>
      <c r="Y598">
        <v>5273.81</v>
      </c>
      <c r="Z598">
        <f t="shared" si="87"/>
        <v>5273.8050000000039</v>
      </c>
      <c r="AA598" s="6">
        <f t="shared" si="88"/>
        <v>-4.9999999964711606E-3</v>
      </c>
      <c r="AB598">
        <f t="shared" si="89"/>
        <v>0.28690042245119629</v>
      </c>
      <c r="AC598" t="s">
        <v>32</v>
      </c>
      <c r="AD598" t="s">
        <v>33</v>
      </c>
      <c r="AE598" t="s">
        <v>2826</v>
      </c>
      <c r="AF598" s="10" t="s">
        <v>2790</v>
      </c>
    </row>
    <row r="599" spans="1:32">
      <c r="A599" t="s">
        <v>1882</v>
      </c>
      <c r="B599" s="3">
        <v>45876</v>
      </c>
      <c r="C599" t="str">
        <f t="shared" si="82"/>
        <v>August</v>
      </c>
      <c r="D599">
        <f t="shared" si="83"/>
        <v>2025</v>
      </c>
      <c r="E599" s="3">
        <v>45846</v>
      </c>
      <c r="F599">
        <f t="shared" si="81"/>
        <v>-30</v>
      </c>
      <c r="G599" t="s">
        <v>1883</v>
      </c>
      <c r="H599" t="s">
        <v>89</v>
      </c>
      <c r="I599" t="s">
        <v>24</v>
      </c>
      <c r="J599" t="s">
        <v>54</v>
      </c>
      <c r="K599" t="s">
        <v>55</v>
      </c>
      <c r="L599" t="s">
        <v>56</v>
      </c>
      <c r="M599" t="s">
        <v>74</v>
      </c>
      <c r="N599" t="s">
        <v>80</v>
      </c>
      <c r="O599" t="s">
        <v>1884</v>
      </c>
      <c r="P599" t="s">
        <v>44</v>
      </c>
      <c r="Q599">
        <v>9</v>
      </c>
      <c r="R599">
        <v>274.88</v>
      </c>
      <c r="S599" s="6">
        <v>0.25</v>
      </c>
      <c r="T599" s="6">
        <f t="shared" si="84"/>
        <v>0.25</v>
      </c>
      <c r="U599">
        <v>1855.44</v>
      </c>
      <c r="V599">
        <f t="shared" si="85"/>
        <v>1855.44</v>
      </c>
      <c r="W599" s="6">
        <f t="shared" si="86"/>
        <v>0</v>
      </c>
      <c r="X599">
        <v>1262.74</v>
      </c>
      <c r="Y599">
        <v>592.70000000000005</v>
      </c>
      <c r="Z599">
        <f t="shared" si="87"/>
        <v>592.70000000000005</v>
      </c>
      <c r="AA599" s="6">
        <f t="shared" si="88"/>
        <v>0</v>
      </c>
      <c r="AB599">
        <f t="shared" si="89"/>
        <v>0.3194390548872505</v>
      </c>
      <c r="AC599" t="s">
        <v>32</v>
      </c>
      <c r="AD599" t="s">
        <v>33</v>
      </c>
      <c r="AE599" t="s">
        <v>2826</v>
      </c>
      <c r="AF599" s="10" t="s">
        <v>2790</v>
      </c>
    </row>
    <row r="600" spans="1:32">
      <c r="A600" t="s">
        <v>1885</v>
      </c>
      <c r="B600" s="3">
        <v>45521</v>
      </c>
      <c r="C600" t="str">
        <f t="shared" si="82"/>
        <v>August</v>
      </c>
      <c r="D600">
        <f t="shared" si="83"/>
        <v>2024</v>
      </c>
      <c r="E600" s="3">
        <v>45528</v>
      </c>
      <c r="F600">
        <f t="shared" si="81"/>
        <v>7</v>
      </c>
      <c r="G600" t="s">
        <v>1886</v>
      </c>
      <c r="H600" t="s">
        <v>62</v>
      </c>
      <c r="I600" t="s">
        <v>90</v>
      </c>
      <c r="J600" t="s">
        <v>38</v>
      </c>
      <c r="K600" t="s">
        <v>99</v>
      </c>
      <c r="L600" t="s">
        <v>100</v>
      </c>
      <c r="M600" t="s">
        <v>74</v>
      </c>
      <c r="N600" t="s">
        <v>80</v>
      </c>
      <c r="O600" t="s">
        <v>1887</v>
      </c>
      <c r="P600" t="s">
        <v>44</v>
      </c>
      <c r="Q600">
        <v>3</v>
      </c>
      <c r="R600">
        <v>1490.69</v>
      </c>
      <c r="S600" s="6">
        <v>0.25</v>
      </c>
      <c r="T600" s="6">
        <f t="shared" si="84"/>
        <v>0.25</v>
      </c>
      <c r="U600">
        <v>3354.05</v>
      </c>
      <c r="V600">
        <f t="shared" si="85"/>
        <v>3354.0524999999998</v>
      </c>
      <c r="W600" s="6">
        <f t="shared" si="86"/>
        <v>2.4999999995998223E-3</v>
      </c>
      <c r="X600">
        <v>2672.67</v>
      </c>
      <c r="Y600">
        <v>681.38</v>
      </c>
      <c r="Z600">
        <f t="shared" si="87"/>
        <v>681.38249999999971</v>
      </c>
      <c r="AA600" s="6">
        <f t="shared" si="88"/>
        <v>2.4999999997135092E-3</v>
      </c>
      <c r="AB600">
        <f t="shared" si="89"/>
        <v>0.20315200790685289</v>
      </c>
      <c r="AC600" t="s">
        <v>32</v>
      </c>
      <c r="AD600" t="s">
        <v>33</v>
      </c>
      <c r="AE600" t="s">
        <v>2828</v>
      </c>
    </row>
    <row r="601" spans="1:32">
      <c r="A601" t="s">
        <v>1888</v>
      </c>
      <c r="B601" s="3">
        <v>45523</v>
      </c>
      <c r="C601" t="str">
        <f t="shared" si="82"/>
        <v>August</v>
      </c>
      <c r="D601">
        <f t="shared" si="83"/>
        <v>2024</v>
      </c>
      <c r="E601" s="3">
        <v>45525</v>
      </c>
      <c r="F601">
        <f t="shared" si="81"/>
        <v>2</v>
      </c>
      <c r="G601" t="s">
        <v>1889</v>
      </c>
      <c r="H601" t="s">
        <v>53</v>
      </c>
      <c r="I601" t="s">
        <v>24</v>
      </c>
      <c r="J601" t="s">
        <v>25</v>
      </c>
      <c r="K601" t="s">
        <v>122</v>
      </c>
      <c r="L601" t="s">
        <v>123</v>
      </c>
      <c r="M601" t="s">
        <v>74</v>
      </c>
      <c r="N601" t="s">
        <v>171</v>
      </c>
      <c r="O601" t="s">
        <v>1890</v>
      </c>
      <c r="P601" t="s">
        <v>50</v>
      </c>
      <c r="Q601">
        <v>3</v>
      </c>
      <c r="R601">
        <v>1103.54</v>
      </c>
      <c r="S601" s="6">
        <v>0.25</v>
      </c>
      <c r="T601" s="6">
        <f t="shared" si="84"/>
        <v>0.25</v>
      </c>
      <c r="U601">
        <v>2482.9699999999998</v>
      </c>
      <c r="V601">
        <f t="shared" si="85"/>
        <v>2482.9650000000001</v>
      </c>
      <c r="W601" s="6">
        <f t="shared" si="86"/>
        <v>-4.999999999654392E-3</v>
      </c>
      <c r="X601">
        <v>1621.72</v>
      </c>
      <c r="Y601">
        <v>861.25</v>
      </c>
      <c r="Z601">
        <f t="shared" si="87"/>
        <v>861.24500000000012</v>
      </c>
      <c r="AA601" s="6">
        <f t="shared" si="88"/>
        <v>-4.9999999998817657E-3</v>
      </c>
      <c r="AB601">
        <f t="shared" si="89"/>
        <v>0.34686151435884116</v>
      </c>
      <c r="AC601" t="s">
        <v>32</v>
      </c>
      <c r="AD601" t="s">
        <v>33</v>
      </c>
      <c r="AE601" t="s">
        <v>2828</v>
      </c>
    </row>
    <row r="602" spans="1:32">
      <c r="A602" t="s">
        <v>1891</v>
      </c>
      <c r="B602" s="3">
        <v>45780</v>
      </c>
      <c r="C602" t="str">
        <f t="shared" si="82"/>
        <v>May</v>
      </c>
      <c r="D602">
        <f t="shared" si="83"/>
        <v>2025</v>
      </c>
      <c r="E602" s="3">
        <v>45994</v>
      </c>
      <c r="F602">
        <f t="shared" si="81"/>
        <v>214</v>
      </c>
      <c r="G602" t="s">
        <v>1892</v>
      </c>
      <c r="H602" t="s">
        <v>62</v>
      </c>
      <c r="I602" t="s">
        <v>90</v>
      </c>
      <c r="J602" t="s">
        <v>63</v>
      </c>
      <c r="K602" t="s">
        <v>72</v>
      </c>
      <c r="L602" t="s">
        <v>73</v>
      </c>
      <c r="M602" t="s">
        <v>28</v>
      </c>
      <c r="N602" t="s">
        <v>124</v>
      </c>
      <c r="O602" t="s">
        <v>1893</v>
      </c>
      <c r="P602" t="s">
        <v>44</v>
      </c>
      <c r="Q602">
        <v>3</v>
      </c>
      <c r="R602">
        <v>3682.75</v>
      </c>
      <c r="S602" s="6">
        <v>0</v>
      </c>
      <c r="T602" s="6">
        <f t="shared" si="84"/>
        <v>0</v>
      </c>
      <c r="U602">
        <v>11048.25</v>
      </c>
      <c r="V602">
        <f t="shared" si="85"/>
        <v>11048.25</v>
      </c>
      <c r="W602" s="6">
        <f t="shared" si="86"/>
        <v>0</v>
      </c>
      <c r="X602">
        <v>9062.7199999999993</v>
      </c>
      <c r="Y602">
        <v>1985.53</v>
      </c>
      <c r="Z602">
        <f t="shared" si="87"/>
        <v>1985.5300000000007</v>
      </c>
      <c r="AA602" s="6">
        <f t="shared" si="88"/>
        <v>0</v>
      </c>
      <c r="AB602">
        <f t="shared" si="89"/>
        <v>0.17971443441268986</v>
      </c>
      <c r="AC602" t="s">
        <v>32</v>
      </c>
      <c r="AD602" t="s">
        <v>33</v>
      </c>
      <c r="AE602" t="s">
        <v>2828</v>
      </c>
    </row>
    <row r="603" spans="1:32">
      <c r="A603" t="s">
        <v>1894</v>
      </c>
      <c r="B603" s="3">
        <v>45317</v>
      </c>
      <c r="C603" t="str">
        <f t="shared" si="82"/>
        <v>January</v>
      </c>
      <c r="D603">
        <f t="shared" si="83"/>
        <v>2024</v>
      </c>
      <c r="E603" s="3">
        <v>45322</v>
      </c>
      <c r="F603">
        <f t="shared" si="81"/>
        <v>5</v>
      </c>
      <c r="G603" t="s">
        <v>1895</v>
      </c>
      <c r="H603" t="s">
        <v>62</v>
      </c>
      <c r="I603" t="s">
        <v>95</v>
      </c>
      <c r="J603" t="s">
        <v>38</v>
      </c>
      <c r="K603" t="s">
        <v>99</v>
      </c>
      <c r="L603" t="s">
        <v>100</v>
      </c>
      <c r="M603" t="s">
        <v>28</v>
      </c>
      <c r="N603" t="s">
        <v>29</v>
      </c>
      <c r="O603" t="s">
        <v>1896</v>
      </c>
      <c r="P603" t="s">
        <v>31</v>
      </c>
      <c r="Q603">
        <v>5</v>
      </c>
      <c r="R603">
        <v>1615.03</v>
      </c>
      <c r="S603" s="6">
        <v>0.2</v>
      </c>
      <c r="T603" s="6">
        <f t="shared" si="84"/>
        <v>0.2</v>
      </c>
      <c r="U603">
        <v>6460.12</v>
      </c>
      <c r="V603">
        <f t="shared" si="85"/>
        <v>6460.12</v>
      </c>
      <c r="W603" s="6">
        <f t="shared" si="86"/>
        <v>0</v>
      </c>
      <c r="X603">
        <v>3604.03</v>
      </c>
      <c r="Y603">
        <v>2856.09</v>
      </c>
      <c r="Z603">
        <f t="shared" si="87"/>
        <v>2856.0899999999997</v>
      </c>
      <c r="AA603" s="6">
        <f t="shared" si="88"/>
        <v>0</v>
      </c>
      <c r="AB603">
        <f t="shared" si="89"/>
        <v>0.44211098245853014</v>
      </c>
      <c r="AC603" t="s">
        <v>32</v>
      </c>
      <c r="AD603" t="s">
        <v>33</v>
      </c>
      <c r="AE603" t="s">
        <v>2828</v>
      </c>
    </row>
    <row r="604" spans="1:32">
      <c r="A604" t="s">
        <v>1897</v>
      </c>
      <c r="B604" s="3">
        <v>45588</v>
      </c>
      <c r="C604" t="str">
        <f t="shared" si="82"/>
        <v>October</v>
      </c>
      <c r="D604">
        <f t="shared" si="83"/>
        <v>2024</v>
      </c>
      <c r="E604" s="3">
        <v>45595</v>
      </c>
      <c r="F604">
        <f t="shared" si="81"/>
        <v>7</v>
      </c>
      <c r="G604" t="s">
        <v>1898</v>
      </c>
      <c r="H604" t="s">
        <v>128</v>
      </c>
      <c r="I604" t="s">
        <v>24</v>
      </c>
      <c r="J604" t="s">
        <v>38</v>
      </c>
      <c r="K604" t="s">
        <v>228</v>
      </c>
      <c r="L604" t="s">
        <v>229</v>
      </c>
      <c r="M604" t="s">
        <v>74</v>
      </c>
      <c r="N604" t="s">
        <v>80</v>
      </c>
      <c r="O604" t="s">
        <v>1899</v>
      </c>
      <c r="P604" t="s">
        <v>31</v>
      </c>
      <c r="Q604">
        <v>9</v>
      </c>
      <c r="R604">
        <v>3423.82</v>
      </c>
      <c r="S604" s="6">
        <v>0.15</v>
      </c>
      <c r="T604" s="6">
        <f t="shared" si="84"/>
        <v>0.15</v>
      </c>
      <c r="U604">
        <v>26192.22</v>
      </c>
      <c r="V604">
        <f t="shared" si="85"/>
        <v>26192.223000000002</v>
      </c>
      <c r="W604" s="6">
        <f t="shared" si="86"/>
        <v>3.0000000006111804E-3</v>
      </c>
      <c r="X604">
        <v>20795.55</v>
      </c>
      <c r="Y604">
        <v>5396.67</v>
      </c>
      <c r="Z604">
        <f t="shared" si="87"/>
        <v>5396.6730000000025</v>
      </c>
      <c r="AA604" s="6">
        <f t="shared" si="88"/>
        <v>3.0000000024301698E-3</v>
      </c>
      <c r="AB604">
        <f t="shared" si="89"/>
        <v>0.20604104508426041</v>
      </c>
      <c r="AC604" t="s">
        <v>32</v>
      </c>
      <c r="AD604" t="s">
        <v>33</v>
      </c>
      <c r="AE604" t="s">
        <v>2828</v>
      </c>
    </row>
    <row r="605" spans="1:32">
      <c r="A605" t="s">
        <v>1900</v>
      </c>
      <c r="B605" s="3">
        <v>45660</v>
      </c>
      <c r="C605" t="str">
        <f t="shared" si="82"/>
        <v>January</v>
      </c>
      <c r="D605">
        <f t="shared" si="83"/>
        <v>2025</v>
      </c>
      <c r="E605" s="3">
        <v>45962</v>
      </c>
      <c r="F605">
        <f t="shared" si="81"/>
        <v>302</v>
      </c>
      <c r="G605" t="s">
        <v>334</v>
      </c>
      <c r="H605" t="s">
        <v>71</v>
      </c>
      <c r="I605" t="s">
        <v>90</v>
      </c>
      <c r="J605" t="s">
        <v>38</v>
      </c>
      <c r="K605" t="s">
        <v>145</v>
      </c>
      <c r="L605" t="s">
        <v>146</v>
      </c>
      <c r="M605" t="s">
        <v>74</v>
      </c>
      <c r="N605" t="s">
        <v>75</v>
      </c>
      <c r="O605" t="s">
        <v>1901</v>
      </c>
      <c r="P605" t="s">
        <v>50</v>
      </c>
      <c r="Q605">
        <v>8</v>
      </c>
      <c r="R605">
        <v>2574.29</v>
      </c>
      <c r="S605" s="6">
        <v>0.05</v>
      </c>
      <c r="T605" s="6">
        <f t="shared" si="84"/>
        <v>0.05</v>
      </c>
      <c r="U605">
        <v>19564.599999999999</v>
      </c>
      <c r="V605">
        <f t="shared" si="85"/>
        <v>19564.603999999999</v>
      </c>
      <c r="W605" s="6">
        <f t="shared" si="86"/>
        <v>4.0000000008149073E-3</v>
      </c>
      <c r="X605">
        <v>11154.59</v>
      </c>
      <c r="Y605">
        <v>8410.01</v>
      </c>
      <c r="Z605">
        <f t="shared" si="87"/>
        <v>8410.0139999999992</v>
      </c>
      <c r="AA605" s="6">
        <f t="shared" si="88"/>
        <v>3.9999999989959178E-3</v>
      </c>
      <c r="AB605">
        <f t="shared" si="89"/>
        <v>0.42985863654587642</v>
      </c>
      <c r="AC605" t="s">
        <v>111</v>
      </c>
      <c r="AD605" t="s">
        <v>68</v>
      </c>
      <c r="AE605" t="s">
        <v>2827</v>
      </c>
      <c r="AF605" t="s">
        <v>2804</v>
      </c>
    </row>
    <row r="606" spans="1:32">
      <c r="A606" t="s">
        <v>1902</v>
      </c>
      <c r="B606" s="3">
        <v>45779</v>
      </c>
      <c r="C606" t="str">
        <f t="shared" si="82"/>
        <v>May</v>
      </c>
      <c r="D606">
        <f t="shared" si="83"/>
        <v>2025</v>
      </c>
      <c r="E606" s="3">
        <v>45694</v>
      </c>
      <c r="F606">
        <f t="shared" si="81"/>
        <v>-85</v>
      </c>
      <c r="G606" t="s">
        <v>1903</v>
      </c>
      <c r="H606" t="s">
        <v>62</v>
      </c>
      <c r="I606" t="s">
        <v>24</v>
      </c>
      <c r="J606" t="s">
        <v>63</v>
      </c>
      <c r="K606" t="s">
        <v>72</v>
      </c>
      <c r="L606" t="s">
        <v>73</v>
      </c>
      <c r="M606" t="s">
        <v>28</v>
      </c>
      <c r="N606" t="s">
        <v>153</v>
      </c>
      <c r="O606" t="s">
        <v>1904</v>
      </c>
      <c r="P606" t="s">
        <v>44</v>
      </c>
      <c r="Q606">
        <v>3</v>
      </c>
      <c r="R606">
        <v>1076.3</v>
      </c>
      <c r="S606" s="6">
        <v>0</v>
      </c>
      <c r="T606" s="6">
        <f t="shared" si="84"/>
        <v>0</v>
      </c>
      <c r="U606">
        <v>3228.9</v>
      </c>
      <c r="V606">
        <f t="shared" si="85"/>
        <v>3228.8999999999996</v>
      </c>
      <c r="W606" s="6">
        <f t="shared" si="86"/>
        <v>0</v>
      </c>
      <c r="X606">
        <v>1853.23</v>
      </c>
      <c r="Y606">
        <v>1375.67</v>
      </c>
      <c r="Z606">
        <f t="shared" si="87"/>
        <v>1375.6699999999996</v>
      </c>
      <c r="AA606" s="6">
        <f t="shared" si="88"/>
        <v>0</v>
      </c>
      <c r="AB606">
        <f t="shared" si="89"/>
        <v>0.42604911889497965</v>
      </c>
      <c r="AC606" t="s">
        <v>32</v>
      </c>
      <c r="AD606" t="s">
        <v>33</v>
      </c>
      <c r="AE606" t="s">
        <v>2826</v>
      </c>
      <c r="AF606" s="10" t="s">
        <v>2790</v>
      </c>
    </row>
    <row r="607" spans="1:32">
      <c r="A607" t="s">
        <v>1905</v>
      </c>
      <c r="B607" s="3">
        <v>45907</v>
      </c>
      <c r="C607" t="str">
        <f t="shared" si="82"/>
        <v>September</v>
      </c>
      <c r="D607">
        <f t="shared" si="83"/>
        <v>2025</v>
      </c>
      <c r="E607" s="3">
        <v>45851</v>
      </c>
      <c r="F607">
        <f t="shared" si="81"/>
        <v>-56</v>
      </c>
      <c r="G607" t="s">
        <v>1906</v>
      </c>
      <c r="H607" t="s">
        <v>264</v>
      </c>
      <c r="I607" t="s">
        <v>90</v>
      </c>
      <c r="J607" t="s">
        <v>63</v>
      </c>
      <c r="K607" t="s">
        <v>190</v>
      </c>
      <c r="L607" t="s">
        <v>191</v>
      </c>
      <c r="M607" t="s">
        <v>41</v>
      </c>
      <c r="N607" t="s">
        <v>57</v>
      </c>
      <c r="O607" t="s">
        <v>1907</v>
      </c>
      <c r="P607" t="s">
        <v>31</v>
      </c>
      <c r="Q607">
        <v>5</v>
      </c>
      <c r="R607">
        <v>1680.01</v>
      </c>
      <c r="S607" s="6">
        <v>0.85</v>
      </c>
      <c r="T607" s="6">
        <f t="shared" si="84"/>
        <v>0.85</v>
      </c>
      <c r="U607">
        <v>7560.04</v>
      </c>
      <c r="V607">
        <f t="shared" si="85"/>
        <v>1260.0075000000002</v>
      </c>
      <c r="W607" s="6">
        <f t="shared" si="86"/>
        <v>-6300.0324999999993</v>
      </c>
      <c r="X607">
        <v>6448.05</v>
      </c>
      <c r="Y607">
        <v>1111.99</v>
      </c>
      <c r="Z607">
        <f t="shared" si="87"/>
        <v>-5188.0424999999996</v>
      </c>
      <c r="AA607" s="6">
        <f t="shared" si="88"/>
        <v>-6300.0324999999993</v>
      </c>
      <c r="AB607">
        <f t="shared" si="89"/>
        <v>-4.1174695388717915</v>
      </c>
      <c r="AC607" t="s">
        <v>32</v>
      </c>
      <c r="AD607" t="s">
        <v>68</v>
      </c>
      <c r="AE607" t="s">
        <v>2826</v>
      </c>
      <c r="AF607" s="10" t="s">
        <v>2794</v>
      </c>
    </row>
    <row r="608" spans="1:32">
      <c r="A608" t="s">
        <v>1908</v>
      </c>
      <c r="B608" s="3">
        <v>45710</v>
      </c>
      <c r="C608" t="str">
        <f t="shared" si="82"/>
        <v>February</v>
      </c>
      <c r="D608">
        <f t="shared" si="83"/>
        <v>2025</v>
      </c>
      <c r="E608" s="3">
        <v>45716</v>
      </c>
      <c r="F608">
        <f t="shared" si="81"/>
        <v>6</v>
      </c>
      <c r="G608" t="s">
        <v>1909</v>
      </c>
      <c r="H608" t="s">
        <v>118</v>
      </c>
      <c r="I608" t="s">
        <v>95</v>
      </c>
      <c r="J608" t="s">
        <v>63</v>
      </c>
      <c r="K608" t="s">
        <v>72</v>
      </c>
      <c r="L608" t="s">
        <v>73</v>
      </c>
      <c r="M608" t="s">
        <v>74</v>
      </c>
      <c r="N608" t="s">
        <v>80</v>
      </c>
      <c r="O608" t="s">
        <v>1910</v>
      </c>
      <c r="P608" t="s">
        <v>44</v>
      </c>
      <c r="Q608">
        <v>3</v>
      </c>
      <c r="R608">
        <v>3890.81</v>
      </c>
      <c r="S608" s="6">
        <v>0.25</v>
      </c>
      <c r="T608" s="6">
        <f t="shared" si="84"/>
        <v>0.25</v>
      </c>
      <c r="U608">
        <v>8754.32</v>
      </c>
      <c r="V608">
        <f t="shared" si="85"/>
        <v>8754.3225000000002</v>
      </c>
      <c r="W608" s="6">
        <f t="shared" si="86"/>
        <v>2.500000000509317E-3</v>
      </c>
      <c r="X608">
        <v>6238.9</v>
      </c>
      <c r="Y608">
        <v>2515.42</v>
      </c>
      <c r="Z608">
        <f t="shared" si="87"/>
        <v>2515.4225000000006</v>
      </c>
      <c r="AA608" s="6">
        <f t="shared" si="88"/>
        <v>2.500000000509317E-3</v>
      </c>
      <c r="AB608">
        <f t="shared" si="89"/>
        <v>0.28733491369549163</v>
      </c>
      <c r="AC608" t="s">
        <v>32</v>
      </c>
      <c r="AD608" t="s">
        <v>33</v>
      </c>
      <c r="AE608" t="s">
        <v>2828</v>
      </c>
    </row>
    <row r="609" spans="1:32">
      <c r="A609" t="s">
        <v>1911</v>
      </c>
      <c r="B609" s="3">
        <v>45704</v>
      </c>
      <c r="C609" t="str">
        <f t="shared" si="82"/>
        <v>February</v>
      </c>
      <c r="D609">
        <f t="shared" si="83"/>
        <v>2025</v>
      </c>
      <c r="E609" s="3">
        <v>45710</v>
      </c>
      <c r="F609">
        <f t="shared" si="81"/>
        <v>6</v>
      </c>
      <c r="G609" t="s">
        <v>1912</v>
      </c>
      <c r="H609" t="s">
        <v>132</v>
      </c>
      <c r="I609" t="s">
        <v>95</v>
      </c>
      <c r="J609" t="s">
        <v>38</v>
      </c>
      <c r="K609" t="s">
        <v>145</v>
      </c>
      <c r="L609" t="s">
        <v>146</v>
      </c>
      <c r="M609" t="s">
        <v>28</v>
      </c>
      <c r="N609" t="s">
        <v>124</v>
      </c>
      <c r="O609" t="s">
        <v>1913</v>
      </c>
      <c r="P609" t="s">
        <v>44</v>
      </c>
      <c r="Q609">
        <v>5</v>
      </c>
      <c r="R609">
        <v>954.67</v>
      </c>
      <c r="S609" s="6">
        <v>0.15</v>
      </c>
      <c r="T609" s="6">
        <f t="shared" si="84"/>
        <v>0.15</v>
      </c>
      <c r="U609">
        <v>4057.35</v>
      </c>
      <c r="V609">
        <f t="shared" si="85"/>
        <v>4057.3474999999994</v>
      </c>
      <c r="W609" s="6">
        <f t="shared" si="86"/>
        <v>-2.500000000509317E-3</v>
      </c>
      <c r="X609">
        <v>2862.03</v>
      </c>
      <c r="Y609">
        <v>1195.32</v>
      </c>
      <c r="Z609">
        <f t="shared" si="87"/>
        <v>1195.3174999999992</v>
      </c>
      <c r="AA609" s="6">
        <f t="shared" si="88"/>
        <v>-2.5000000007366907E-3</v>
      </c>
      <c r="AB609">
        <f t="shared" si="89"/>
        <v>0.29460565061286947</v>
      </c>
      <c r="AC609" t="s">
        <v>32</v>
      </c>
      <c r="AD609" t="s">
        <v>33</v>
      </c>
      <c r="AE609" t="s">
        <v>2828</v>
      </c>
    </row>
    <row r="610" spans="1:32">
      <c r="A610" t="s">
        <v>1914</v>
      </c>
      <c r="B610" s="3">
        <v>45464</v>
      </c>
      <c r="C610" t="str">
        <f t="shared" si="82"/>
        <v>June</v>
      </c>
      <c r="D610">
        <f t="shared" si="83"/>
        <v>2024</v>
      </c>
      <c r="E610" s="3">
        <v>45466</v>
      </c>
      <c r="F610">
        <f t="shared" si="81"/>
        <v>2</v>
      </c>
      <c r="G610" t="s">
        <v>1692</v>
      </c>
      <c r="H610" t="s">
        <v>23</v>
      </c>
      <c r="I610" t="s">
        <v>95</v>
      </c>
      <c r="J610" t="s">
        <v>63</v>
      </c>
      <c r="K610" t="s">
        <v>190</v>
      </c>
      <c r="L610" t="s">
        <v>191</v>
      </c>
      <c r="M610" t="s">
        <v>41</v>
      </c>
      <c r="N610" t="s">
        <v>57</v>
      </c>
      <c r="O610" t="s">
        <v>1915</v>
      </c>
      <c r="P610" t="s">
        <v>31</v>
      </c>
      <c r="Q610">
        <v>9</v>
      </c>
      <c r="R610">
        <v>2153.75</v>
      </c>
      <c r="S610" s="6">
        <v>0</v>
      </c>
      <c r="T610" s="6">
        <f t="shared" si="84"/>
        <v>0</v>
      </c>
      <c r="U610">
        <v>19383.75</v>
      </c>
      <c r="V610">
        <f t="shared" si="85"/>
        <v>19383.75</v>
      </c>
      <c r="W610" s="6">
        <f t="shared" si="86"/>
        <v>0</v>
      </c>
      <c r="X610">
        <v>11667.43</v>
      </c>
      <c r="Y610">
        <v>7716.32</v>
      </c>
      <c r="Z610">
        <f t="shared" si="87"/>
        <v>7716.32</v>
      </c>
      <c r="AA610" s="6">
        <f t="shared" si="88"/>
        <v>0</v>
      </c>
      <c r="AB610">
        <f t="shared" si="89"/>
        <v>0.39808189849745274</v>
      </c>
      <c r="AC610" t="s">
        <v>32</v>
      </c>
      <c r="AD610" t="s">
        <v>33</v>
      </c>
      <c r="AE610" t="s">
        <v>2828</v>
      </c>
    </row>
    <row r="611" spans="1:32">
      <c r="A611" t="s">
        <v>1916</v>
      </c>
      <c r="B611" s="3">
        <v>45870</v>
      </c>
      <c r="C611" t="str">
        <f t="shared" si="82"/>
        <v>August</v>
      </c>
      <c r="D611">
        <f t="shared" si="83"/>
        <v>2025</v>
      </c>
      <c r="E611" s="3">
        <v>45992</v>
      </c>
      <c r="F611">
        <f t="shared" si="81"/>
        <v>122</v>
      </c>
      <c r="G611" t="s">
        <v>1917</v>
      </c>
      <c r="H611" t="s">
        <v>132</v>
      </c>
      <c r="I611" t="s">
        <v>95</v>
      </c>
      <c r="J611" t="s">
        <v>54</v>
      </c>
      <c r="K611" t="s">
        <v>175</v>
      </c>
      <c r="L611" t="s">
        <v>176</v>
      </c>
      <c r="M611" t="s">
        <v>41</v>
      </c>
      <c r="N611" t="s">
        <v>66</v>
      </c>
      <c r="O611" t="s">
        <v>1918</v>
      </c>
      <c r="P611" t="s">
        <v>59</v>
      </c>
      <c r="Q611">
        <v>7</v>
      </c>
      <c r="R611">
        <v>4337.4799999999996</v>
      </c>
      <c r="S611" s="6">
        <v>0</v>
      </c>
      <c r="T611" s="6">
        <f t="shared" si="84"/>
        <v>0</v>
      </c>
      <c r="U611">
        <v>30362.36</v>
      </c>
      <c r="V611">
        <f t="shared" si="85"/>
        <v>30362.359999999997</v>
      </c>
      <c r="W611" s="6">
        <f t="shared" si="86"/>
        <v>0</v>
      </c>
      <c r="X611">
        <v>25065.4</v>
      </c>
      <c r="Y611">
        <v>5296.96</v>
      </c>
      <c r="Z611">
        <f t="shared" si="87"/>
        <v>5296.9599999999955</v>
      </c>
      <c r="AA611" s="6">
        <f t="shared" si="88"/>
        <v>0</v>
      </c>
      <c r="AB611">
        <f t="shared" si="89"/>
        <v>0.17445811195177174</v>
      </c>
      <c r="AC611" t="s">
        <v>32</v>
      </c>
      <c r="AD611" t="s">
        <v>33</v>
      </c>
      <c r="AE611" t="s">
        <v>2828</v>
      </c>
    </row>
    <row r="612" spans="1:32">
      <c r="A612" t="s">
        <v>1919</v>
      </c>
      <c r="B612" s="3">
        <v>45432</v>
      </c>
      <c r="C612" t="str">
        <f t="shared" si="82"/>
        <v>May</v>
      </c>
      <c r="D612">
        <f t="shared" si="83"/>
        <v>2024</v>
      </c>
      <c r="E612" s="3">
        <v>45432</v>
      </c>
      <c r="F612">
        <f t="shared" si="81"/>
        <v>0</v>
      </c>
      <c r="G612" t="s">
        <v>1364</v>
      </c>
      <c r="H612" t="s">
        <v>23</v>
      </c>
      <c r="I612" t="s">
        <v>95</v>
      </c>
      <c r="J612" t="s">
        <v>63</v>
      </c>
      <c r="K612" t="s">
        <v>72</v>
      </c>
      <c r="L612" t="s">
        <v>73</v>
      </c>
      <c r="M612" t="s">
        <v>41</v>
      </c>
      <c r="N612" t="s">
        <v>66</v>
      </c>
      <c r="O612" t="s">
        <v>1920</v>
      </c>
      <c r="P612" t="s">
        <v>59</v>
      </c>
      <c r="Q612">
        <v>1</v>
      </c>
      <c r="R612">
        <v>3032.95</v>
      </c>
      <c r="S612" s="6">
        <v>0.1</v>
      </c>
      <c r="T612" s="6">
        <f t="shared" si="84"/>
        <v>0.1</v>
      </c>
      <c r="U612">
        <v>2729.65</v>
      </c>
      <c r="V612">
        <f t="shared" si="85"/>
        <v>2729.6549999999997</v>
      </c>
      <c r="W612" s="6">
        <f t="shared" si="86"/>
        <v>4.999999999654392E-3</v>
      </c>
      <c r="X612">
        <v>1715.36</v>
      </c>
      <c r="Y612">
        <v>1014.29</v>
      </c>
      <c r="Z612">
        <f t="shared" si="87"/>
        <v>1014.2949999999998</v>
      </c>
      <c r="AA612" s="6">
        <f t="shared" si="88"/>
        <v>4.9999999998817657E-3</v>
      </c>
      <c r="AB612">
        <f t="shared" si="89"/>
        <v>0.37158358840219735</v>
      </c>
      <c r="AC612" t="s">
        <v>32</v>
      </c>
      <c r="AD612" t="s">
        <v>33</v>
      </c>
      <c r="AE612" t="s">
        <v>2828</v>
      </c>
    </row>
    <row r="613" spans="1:32">
      <c r="A613" t="s">
        <v>1921</v>
      </c>
      <c r="B613" s="3">
        <v>45876</v>
      </c>
      <c r="C613" t="str">
        <f t="shared" si="82"/>
        <v>August</v>
      </c>
      <c r="D613">
        <f t="shared" si="83"/>
        <v>2025</v>
      </c>
      <c r="E613" s="3">
        <v>45853</v>
      </c>
      <c r="F613">
        <f t="shared" si="81"/>
        <v>-23</v>
      </c>
      <c r="G613" t="s">
        <v>1922</v>
      </c>
      <c r="H613" t="s">
        <v>62</v>
      </c>
      <c r="I613" t="s">
        <v>37</v>
      </c>
      <c r="J613" t="s">
        <v>25</v>
      </c>
      <c r="K613" t="s">
        <v>26</v>
      </c>
      <c r="L613" t="s">
        <v>27</v>
      </c>
      <c r="M613" t="s">
        <v>28</v>
      </c>
      <c r="N613" t="s">
        <v>153</v>
      </c>
      <c r="O613" t="s">
        <v>1923</v>
      </c>
      <c r="P613" t="s">
        <v>44</v>
      </c>
      <c r="Q613">
        <v>8</v>
      </c>
      <c r="R613">
        <v>655.28</v>
      </c>
      <c r="S613" s="6">
        <v>0.1</v>
      </c>
      <c r="T613" s="6">
        <f t="shared" si="84"/>
        <v>0.1</v>
      </c>
      <c r="U613">
        <v>4718.0200000000004</v>
      </c>
      <c r="V613">
        <f t="shared" si="85"/>
        <v>4718.0159999999996</v>
      </c>
      <c r="W613" s="6">
        <f t="shared" si="86"/>
        <v>-4.0000000008149073E-3</v>
      </c>
      <c r="X613">
        <v>3908.23</v>
      </c>
      <c r="Y613">
        <v>809.79</v>
      </c>
      <c r="Z613">
        <f t="shared" si="87"/>
        <v>809.7859999999996</v>
      </c>
      <c r="AA613" s="6">
        <f t="shared" si="88"/>
        <v>-4.0000000003601599E-3</v>
      </c>
      <c r="AB613">
        <f t="shared" si="89"/>
        <v>0.17163697622051297</v>
      </c>
      <c r="AC613" t="s">
        <v>32</v>
      </c>
      <c r="AD613" t="s">
        <v>33</v>
      </c>
      <c r="AE613" t="s">
        <v>2826</v>
      </c>
      <c r="AF613" s="10" t="s">
        <v>2790</v>
      </c>
    </row>
    <row r="614" spans="1:32">
      <c r="A614" t="s">
        <v>1924</v>
      </c>
      <c r="B614" s="3">
        <v>45812</v>
      </c>
      <c r="C614" t="str">
        <f t="shared" si="82"/>
        <v>June</v>
      </c>
      <c r="D614">
        <f t="shared" si="83"/>
        <v>2025</v>
      </c>
      <c r="E614" s="3">
        <v>45760</v>
      </c>
      <c r="F614">
        <f t="shared" si="81"/>
        <v>-52</v>
      </c>
      <c r="G614" t="s">
        <v>1925</v>
      </c>
      <c r="H614" t="s">
        <v>89</v>
      </c>
      <c r="I614" t="s">
        <v>24</v>
      </c>
      <c r="J614" t="s">
        <v>2781</v>
      </c>
      <c r="K614" t="s">
        <v>39</v>
      </c>
      <c r="L614" t="s">
        <v>40</v>
      </c>
      <c r="M614" t="s">
        <v>74</v>
      </c>
      <c r="N614" t="s">
        <v>171</v>
      </c>
      <c r="O614" t="s">
        <v>1926</v>
      </c>
      <c r="P614" t="s">
        <v>59</v>
      </c>
      <c r="Q614">
        <v>1</v>
      </c>
      <c r="R614">
        <v>3844.01</v>
      </c>
      <c r="S614" s="6">
        <v>0</v>
      </c>
      <c r="T614" s="6">
        <f t="shared" si="84"/>
        <v>0</v>
      </c>
      <c r="U614">
        <v>3844.01</v>
      </c>
      <c r="V614">
        <f t="shared" si="85"/>
        <v>3844.01</v>
      </c>
      <c r="W614" s="6">
        <f t="shared" si="86"/>
        <v>0</v>
      </c>
      <c r="X614">
        <v>2195.79</v>
      </c>
      <c r="Y614">
        <v>1648.22</v>
      </c>
      <c r="Z614">
        <f t="shared" si="87"/>
        <v>1648.2200000000003</v>
      </c>
      <c r="AA614" s="6">
        <f t="shared" si="88"/>
        <v>0</v>
      </c>
      <c r="AB614">
        <f t="shared" si="89"/>
        <v>0.42877619985379856</v>
      </c>
      <c r="AC614" t="s">
        <v>32</v>
      </c>
      <c r="AD614" t="s">
        <v>33</v>
      </c>
      <c r="AE614" t="s">
        <v>2826</v>
      </c>
      <c r="AF614" s="10" t="s">
        <v>2790</v>
      </c>
    </row>
    <row r="615" spans="1:32">
      <c r="A615" t="s">
        <v>1927</v>
      </c>
      <c r="B615" s="3">
        <v>45422</v>
      </c>
      <c r="C615" t="str">
        <f t="shared" si="82"/>
        <v>May</v>
      </c>
      <c r="D615">
        <f t="shared" si="83"/>
        <v>2024</v>
      </c>
      <c r="E615" s="3">
        <v>45575</v>
      </c>
      <c r="F615">
        <f t="shared" si="81"/>
        <v>153</v>
      </c>
      <c r="G615" t="s">
        <v>1928</v>
      </c>
      <c r="H615" t="s">
        <v>162</v>
      </c>
      <c r="I615" t="s">
        <v>95</v>
      </c>
      <c r="J615" t="s">
        <v>63</v>
      </c>
      <c r="K615" t="s">
        <v>180</v>
      </c>
      <c r="L615" t="s">
        <v>181</v>
      </c>
      <c r="M615" t="s">
        <v>74</v>
      </c>
      <c r="N615" t="s">
        <v>274</v>
      </c>
      <c r="O615" t="s">
        <v>1929</v>
      </c>
      <c r="P615" t="s">
        <v>44</v>
      </c>
      <c r="Q615">
        <v>9</v>
      </c>
      <c r="R615">
        <v>3361.3</v>
      </c>
      <c r="S615" s="6">
        <v>0.25</v>
      </c>
      <c r="T615" s="6">
        <f t="shared" si="84"/>
        <v>0.25</v>
      </c>
      <c r="U615">
        <v>22688.78</v>
      </c>
      <c r="V615">
        <f t="shared" si="85"/>
        <v>22688.775000000001</v>
      </c>
      <c r="W615" s="6">
        <f t="shared" si="86"/>
        <v>-4.9999999973806553E-3</v>
      </c>
      <c r="X615">
        <v>14672.41</v>
      </c>
      <c r="Y615">
        <v>8016.37</v>
      </c>
      <c r="Z615">
        <f t="shared" si="87"/>
        <v>8016.3650000000016</v>
      </c>
      <c r="AA615" s="6">
        <f t="shared" si="88"/>
        <v>-4.99999999829015E-3</v>
      </c>
      <c r="AB615">
        <f t="shared" si="89"/>
        <v>0.35331854628555315</v>
      </c>
      <c r="AC615" t="s">
        <v>32</v>
      </c>
      <c r="AD615" t="s">
        <v>33</v>
      </c>
      <c r="AE615" t="s">
        <v>2828</v>
      </c>
    </row>
    <row r="616" spans="1:32">
      <c r="A616" t="s">
        <v>1930</v>
      </c>
      <c r="B616" s="3">
        <v>45598</v>
      </c>
      <c r="C616" t="str">
        <f t="shared" si="82"/>
        <v>November</v>
      </c>
      <c r="D616">
        <f t="shared" si="83"/>
        <v>2024</v>
      </c>
      <c r="E616" s="3">
        <v>45341</v>
      </c>
      <c r="F616">
        <f t="shared" si="81"/>
        <v>-257</v>
      </c>
      <c r="G616" t="s">
        <v>1931</v>
      </c>
      <c r="H616" t="s">
        <v>62</v>
      </c>
      <c r="I616" t="s">
        <v>95</v>
      </c>
      <c r="J616" t="s">
        <v>54</v>
      </c>
      <c r="K616" t="s">
        <v>55</v>
      </c>
      <c r="L616" t="s">
        <v>56</v>
      </c>
      <c r="M616" t="s">
        <v>41</v>
      </c>
      <c r="N616" t="s">
        <v>66</v>
      </c>
      <c r="O616" t="s">
        <v>1932</v>
      </c>
      <c r="P616" t="s">
        <v>59</v>
      </c>
      <c r="Q616">
        <v>8</v>
      </c>
      <c r="R616">
        <v>3398.32</v>
      </c>
      <c r="S616" s="6">
        <v>0.25</v>
      </c>
      <c r="T616" s="6">
        <f t="shared" si="84"/>
        <v>0.25</v>
      </c>
      <c r="U616">
        <v>20389.919999999998</v>
      </c>
      <c r="V616">
        <f t="shared" si="85"/>
        <v>20389.920000000002</v>
      </c>
      <c r="W616" s="6">
        <f t="shared" si="86"/>
        <v>0</v>
      </c>
      <c r="X616">
        <v>16661.080000000002</v>
      </c>
      <c r="Y616">
        <v>3728.84</v>
      </c>
      <c r="Z616">
        <f t="shared" si="87"/>
        <v>3728.84</v>
      </c>
      <c r="AA616" s="6">
        <f t="shared" si="88"/>
        <v>0</v>
      </c>
      <c r="AB616">
        <f t="shared" si="89"/>
        <v>0.18287663708342161</v>
      </c>
      <c r="AC616" t="s">
        <v>102</v>
      </c>
      <c r="AD616" t="s">
        <v>68</v>
      </c>
      <c r="AE616" t="s">
        <v>2826</v>
      </c>
      <c r="AF616" s="10" t="s">
        <v>2813</v>
      </c>
    </row>
    <row r="617" spans="1:32">
      <c r="A617" t="s">
        <v>1933</v>
      </c>
      <c r="B617" s="3">
        <v>45392</v>
      </c>
      <c r="C617" t="str">
        <f t="shared" si="82"/>
        <v>April</v>
      </c>
      <c r="D617">
        <f t="shared" si="83"/>
        <v>2024</v>
      </c>
      <c r="E617" s="3">
        <v>45572</v>
      </c>
      <c r="F617">
        <f t="shared" si="81"/>
        <v>180</v>
      </c>
      <c r="G617" t="s">
        <v>1934</v>
      </c>
      <c r="H617" t="s">
        <v>118</v>
      </c>
      <c r="I617" t="s">
        <v>90</v>
      </c>
      <c r="J617" t="s">
        <v>54</v>
      </c>
      <c r="K617" t="s">
        <v>185</v>
      </c>
      <c r="L617" t="s">
        <v>186</v>
      </c>
      <c r="M617" t="s">
        <v>28</v>
      </c>
      <c r="N617" t="s">
        <v>48</v>
      </c>
      <c r="O617" t="s">
        <v>1935</v>
      </c>
      <c r="P617" t="s">
        <v>31</v>
      </c>
      <c r="Q617">
        <v>2</v>
      </c>
      <c r="R617">
        <v>3144.38</v>
      </c>
      <c r="S617" s="6">
        <v>0.1</v>
      </c>
      <c r="T617" s="6">
        <f t="shared" si="84"/>
        <v>0.1</v>
      </c>
      <c r="U617">
        <v>5904.57</v>
      </c>
      <c r="V617">
        <f t="shared" si="85"/>
        <v>5659.884</v>
      </c>
      <c r="W617" s="6">
        <f t="shared" si="86"/>
        <v>-244.68599999999969</v>
      </c>
      <c r="X617">
        <v>4337.79</v>
      </c>
      <c r="Y617">
        <v>1322.09</v>
      </c>
      <c r="Z617">
        <f t="shared" si="87"/>
        <v>1322.0940000000001</v>
      </c>
      <c r="AA617" s="6">
        <f t="shared" si="88"/>
        <v>4.0000000001327862E-3</v>
      </c>
      <c r="AB617">
        <f t="shared" si="89"/>
        <v>0.23359029973052453</v>
      </c>
      <c r="AC617" t="s">
        <v>32</v>
      </c>
      <c r="AD617" t="s">
        <v>33</v>
      </c>
      <c r="AE617" t="s">
        <v>2828</v>
      </c>
    </row>
    <row r="618" spans="1:32">
      <c r="A618" t="s">
        <v>1936</v>
      </c>
      <c r="B618" s="3">
        <v>45520</v>
      </c>
      <c r="C618" t="str">
        <f t="shared" si="82"/>
        <v>August</v>
      </c>
      <c r="D618">
        <f t="shared" si="83"/>
        <v>2024</v>
      </c>
      <c r="E618" s="3">
        <v>45523</v>
      </c>
      <c r="F618">
        <f t="shared" si="81"/>
        <v>3</v>
      </c>
      <c r="G618" t="s">
        <v>1937</v>
      </c>
      <c r="H618" t="s">
        <v>264</v>
      </c>
      <c r="I618" t="s">
        <v>24</v>
      </c>
      <c r="J618" t="s">
        <v>54</v>
      </c>
      <c r="K618" t="s">
        <v>55</v>
      </c>
      <c r="L618" t="s">
        <v>56</v>
      </c>
      <c r="M618" t="s">
        <v>28</v>
      </c>
      <c r="N618" t="s">
        <v>29</v>
      </c>
      <c r="O618" t="s">
        <v>1938</v>
      </c>
      <c r="P618" t="s">
        <v>59</v>
      </c>
      <c r="Q618">
        <v>6</v>
      </c>
      <c r="R618">
        <v>3925.55</v>
      </c>
      <c r="S618" s="6">
        <v>0.2</v>
      </c>
      <c r="T618" s="6">
        <f t="shared" si="84"/>
        <v>0.2</v>
      </c>
      <c r="U618">
        <v>18842.64</v>
      </c>
      <c r="V618">
        <f t="shared" si="85"/>
        <v>18842.640000000003</v>
      </c>
      <c r="W618" s="6">
        <f t="shared" si="86"/>
        <v>0</v>
      </c>
      <c r="X618">
        <v>11840.58</v>
      </c>
      <c r="Y618">
        <v>7002.06</v>
      </c>
      <c r="Z618">
        <f t="shared" si="87"/>
        <v>7002.0600000000031</v>
      </c>
      <c r="AA618" s="6">
        <f t="shared" si="88"/>
        <v>0</v>
      </c>
      <c r="AB618">
        <f t="shared" si="89"/>
        <v>0.37160716332743193</v>
      </c>
      <c r="AC618" t="s">
        <v>32</v>
      </c>
      <c r="AD618" t="s">
        <v>33</v>
      </c>
      <c r="AE618" t="s">
        <v>2828</v>
      </c>
    </row>
    <row r="619" spans="1:32">
      <c r="A619" t="s">
        <v>1939</v>
      </c>
      <c r="B619" s="3">
        <v>45564</v>
      </c>
      <c r="C619" t="str">
        <f t="shared" si="82"/>
        <v>September</v>
      </c>
      <c r="D619">
        <f t="shared" si="83"/>
        <v>2024</v>
      </c>
      <c r="E619" s="3">
        <v>45565</v>
      </c>
      <c r="F619">
        <f t="shared" si="81"/>
        <v>1</v>
      </c>
      <c r="G619" t="s">
        <v>1940</v>
      </c>
      <c r="H619" t="s">
        <v>36</v>
      </c>
      <c r="I619" t="s">
        <v>95</v>
      </c>
      <c r="J619" t="s">
        <v>54</v>
      </c>
      <c r="K619" t="s">
        <v>55</v>
      </c>
      <c r="L619" t="s">
        <v>56</v>
      </c>
      <c r="M619" t="s">
        <v>74</v>
      </c>
      <c r="N619" t="s">
        <v>171</v>
      </c>
      <c r="O619" t="s">
        <v>1941</v>
      </c>
      <c r="P619" t="s">
        <v>59</v>
      </c>
      <c r="Q619">
        <v>9</v>
      </c>
      <c r="R619">
        <v>2741.91</v>
      </c>
      <c r="S619" s="6">
        <v>0</v>
      </c>
      <c r="T619" s="6">
        <f t="shared" si="84"/>
        <v>0</v>
      </c>
      <c r="U619">
        <v>24677.19</v>
      </c>
      <c r="V619">
        <f t="shared" si="85"/>
        <v>24677.19</v>
      </c>
      <c r="W619" s="6">
        <f t="shared" si="86"/>
        <v>0</v>
      </c>
      <c r="X619">
        <v>20350.849999999999</v>
      </c>
      <c r="Y619">
        <v>4326.34</v>
      </c>
      <c r="Z619">
        <f t="shared" si="87"/>
        <v>4326.34</v>
      </c>
      <c r="AA619" s="6">
        <f t="shared" si="88"/>
        <v>0</v>
      </c>
      <c r="AB619">
        <f t="shared" si="89"/>
        <v>0.17531736798233513</v>
      </c>
      <c r="AC619" t="s">
        <v>32</v>
      </c>
      <c r="AD619" t="s">
        <v>33</v>
      </c>
      <c r="AE619" t="s">
        <v>2828</v>
      </c>
    </row>
    <row r="620" spans="1:32">
      <c r="A620" t="s">
        <v>1942</v>
      </c>
      <c r="B620" s="3">
        <v>45496</v>
      </c>
      <c r="C620" t="str">
        <f t="shared" si="82"/>
        <v>July</v>
      </c>
      <c r="D620">
        <f t="shared" si="83"/>
        <v>2024</v>
      </c>
      <c r="E620" s="3">
        <v>45503</v>
      </c>
      <c r="F620">
        <f t="shared" si="81"/>
        <v>7</v>
      </c>
      <c r="G620" t="s">
        <v>1943</v>
      </c>
      <c r="H620" t="s">
        <v>264</v>
      </c>
      <c r="I620" t="s">
        <v>90</v>
      </c>
      <c r="J620" t="s">
        <v>25</v>
      </c>
      <c r="K620" t="s">
        <v>26</v>
      </c>
      <c r="L620" t="s">
        <v>27</v>
      </c>
      <c r="M620" t="s">
        <v>41</v>
      </c>
      <c r="N620" t="s">
        <v>42</v>
      </c>
      <c r="O620" t="s">
        <v>1944</v>
      </c>
      <c r="P620" t="s">
        <v>44</v>
      </c>
      <c r="Q620">
        <v>9</v>
      </c>
      <c r="R620">
        <v>1870.11</v>
      </c>
      <c r="S620" s="6">
        <v>0.25</v>
      </c>
      <c r="T620" s="6">
        <f t="shared" si="84"/>
        <v>0.25</v>
      </c>
      <c r="U620">
        <v>12623.24</v>
      </c>
      <c r="V620">
        <f t="shared" si="85"/>
        <v>12623.242499999998</v>
      </c>
      <c r="W620" s="6">
        <f t="shared" si="86"/>
        <v>2.4999999986903276E-3</v>
      </c>
      <c r="X620">
        <v>10540.8</v>
      </c>
      <c r="Y620">
        <v>2082.44</v>
      </c>
      <c r="Z620">
        <f t="shared" si="87"/>
        <v>2082.4424999999992</v>
      </c>
      <c r="AA620" s="6">
        <f t="shared" si="88"/>
        <v>2.499999999145075E-3</v>
      </c>
      <c r="AB620">
        <f t="shared" si="89"/>
        <v>0.16496890557239943</v>
      </c>
      <c r="AC620" t="s">
        <v>155</v>
      </c>
      <c r="AD620" t="s">
        <v>68</v>
      </c>
      <c r="AE620" t="s">
        <v>2827</v>
      </c>
      <c r="AF620" s="10" t="s">
        <v>2796</v>
      </c>
    </row>
    <row r="621" spans="1:32">
      <c r="A621" t="s">
        <v>1945</v>
      </c>
      <c r="B621" s="3">
        <v>45618</v>
      </c>
      <c r="C621" t="str">
        <f t="shared" si="82"/>
        <v>November</v>
      </c>
      <c r="D621">
        <f t="shared" si="83"/>
        <v>2024</v>
      </c>
      <c r="E621" s="3">
        <v>45623</v>
      </c>
      <c r="F621">
        <f t="shared" si="81"/>
        <v>5</v>
      </c>
      <c r="G621" t="s">
        <v>1946</v>
      </c>
      <c r="H621" t="s">
        <v>114</v>
      </c>
      <c r="I621" t="s">
        <v>90</v>
      </c>
      <c r="J621" t="s">
        <v>54</v>
      </c>
      <c r="K621" t="s">
        <v>247</v>
      </c>
      <c r="L621" t="s">
        <v>248</v>
      </c>
      <c r="M621" t="s">
        <v>28</v>
      </c>
      <c r="N621" t="s">
        <v>153</v>
      </c>
      <c r="O621" t="s">
        <v>1947</v>
      </c>
      <c r="P621" t="s">
        <v>50</v>
      </c>
      <c r="Q621">
        <v>1</v>
      </c>
      <c r="R621">
        <v>4251.26</v>
      </c>
      <c r="S621" s="6">
        <v>0.2</v>
      </c>
      <c r="T621" s="6">
        <f t="shared" si="84"/>
        <v>0.2</v>
      </c>
      <c r="U621">
        <v>3401.01</v>
      </c>
      <c r="V621">
        <f t="shared" si="85"/>
        <v>3401.0080000000003</v>
      </c>
      <c r="W621" s="6">
        <f t="shared" si="86"/>
        <v>-1.9999999999527063E-3</v>
      </c>
      <c r="X621">
        <v>2917.54</v>
      </c>
      <c r="Y621">
        <v>483.47</v>
      </c>
      <c r="Z621">
        <f t="shared" si="87"/>
        <v>483.4680000000003</v>
      </c>
      <c r="AA621" s="6">
        <f t="shared" si="88"/>
        <v>-1.9999999997253326E-3</v>
      </c>
      <c r="AB621">
        <f t="shared" si="89"/>
        <v>0.14215432601158254</v>
      </c>
      <c r="AC621" t="s">
        <v>102</v>
      </c>
      <c r="AD621" t="s">
        <v>103</v>
      </c>
      <c r="AE621" t="s">
        <v>2827</v>
      </c>
      <c r="AF621" t="s">
        <v>2807</v>
      </c>
    </row>
    <row r="622" spans="1:32">
      <c r="A622" t="s">
        <v>1948</v>
      </c>
      <c r="B622" s="3">
        <v>45522</v>
      </c>
      <c r="C622" t="str">
        <f t="shared" si="82"/>
        <v>August</v>
      </c>
      <c r="D622">
        <f t="shared" si="83"/>
        <v>2024</v>
      </c>
      <c r="E622" s="3">
        <v>45525</v>
      </c>
      <c r="F622">
        <f t="shared" si="81"/>
        <v>3</v>
      </c>
      <c r="G622" t="s">
        <v>1949</v>
      </c>
      <c r="H622" t="s">
        <v>71</v>
      </c>
      <c r="I622" t="s">
        <v>24</v>
      </c>
      <c r="J622" t="s">
        <v>25</v>
      </c>
      <c r="K622" t="s">
        <v>136</v>
      </c>
      <c r="L622" t="s">
        <v>137</v>
      </c>
      <c r="M622" t="s">
        <v>74</v>
      </c>
      <c r="N622" t="s">
        <v>274</v>
      </c>
      <c r="O622" t="s">
        <v>1950</v>
      </c>
      <c r="P622" t="s">
        <v>59</v>
      </c>
      <c r="Q622">
        <v>9</v>
      </c>
      <c r="R622">
        <v>734.34</v>
      </c>
      <c r="S622" s="6">
        <v>0</v>
      </c>
      <c r="T622" s="6">
        <f t="shared" si="84"/>
        <v>0</v>
      </c>
      <c r="U622">
        <v>6609.06</v>
      </c>
      <c r="V622">
        <f t="shared" si="85"/>
        <v>6609.06</v>
      </c>
      <c r="W622" s="6">
        <f t="shared" si="86"/>
        <v>0</v>
      </c>
      <c r="X622">
        <v>4946.78</v>
      </c>
      <c r="Y622">
        <v>1662.28</v>
      </c>
      <c r="Z622">
        <f t="shared" si="87"/>
        <v>1662.2800000000007</v>
      </c>
      <c r="AA622" s="6">
        <f t="shared" si="88"/>
        <v>0</v>
      </c>
      <c r="AB622">
        <f t="shared" si="89"/>
        <v>0.25151534408826681</v>
      </c>
      <c r="AC622" t="s">
        <v>32</v>
      </c>
      <c r="AD622" t="s">
        <v>33</v>
      </c>
      <c r="AE622" t="s">
        <v>2828</v>
      </c>
    </row>
    <row r="623" spans="1:32">
      <c r="A623" t="s">
        <v>1951</v>
      </c>
      <c r="B623" s="3">
        <v>45624</v>
      </c>
      <c r="C623" t="str">
        <f t="shared" si="82"/>
        <v>November</v>
      </c>
      <c r="D623">
        <f t="shared" si="83"/>
        <v>2024</v>
      </c>
      <c r="E623" s="3">
        <v>45455</v>
      </c>
      <c r="F623">
        <f t="shared" si="81"/>
        <v>-169</v>
      </c>
      <c r="G623" t="s">
        <v>1952</v>
      </c>
      <c r="H623" t="s">
        <v>89</v>
      </c>
      <c r="I623" t="s">
        <v>24</v>
      </c>
      <c r="J623" t="s">
        <v>63</v>
      </c>
      <c r="K623" t="s">
        <v>64</v>
      </c>
      <c r="L623" t="s">
        <v>65</v>
      </c>
      <c r="M623" t="s">
        <v>41</v>
      </c>
      <c r="N623" t="s">
        <v>66</v>
      </c>
      <c r="O623" t="s">
        <v>1953</v>
      </c>
      <c r="P623" t="s">
        <v>44</v>
      </c>
      <c r="Q623">
        <v>5</v>
      </c>
      <c r="R623">
        <v>1092.8399999999999</v>
      </c>
      <c r="S623" s="6">
        <v>0</v>
      </c>
      <c r="T623" s="6">
        <f t="shared" si="84"/>
        <v>0</v>
      </c>
      <c r="U623">
        <v>5464.2</v>
      </c>
      <c r="V623">
        <f t="shared" si="85"/>
        <v>5464.2</v>
      </c>
      <c r="W623" s="6">
        <f t="shared" si="86"/>
        <v>0</v>
      </c>
      <c r="X623">
        <v>3318.09</v>
      </c>
      <c r="Y623">
        <v>2146.11</v>
      </c>
      <c r="Z623">
        <f t="shared" si="87"/>
        <v>2146.1099999999997</v>
      </c>
      <c r="AA623" s="6">
        <f t="shared" si="88"/>
        <v>0</v>
      </c>
      <c r="AB623">
        <f t="shared" si="89"/>
        <v>0.39275831777753373</v>
      </c>
      <c r="AC623" t="s">
        <v>32</v>
      </c>
      <c r="AD623" t="s">
        <v>33</v>
      </c>
      <c r="AE623" t="s">
        <v>2826</v>
      </c>
      <c r="AF623" s="10" t="s">
        <v>2790</v>
      </c>
    </row>
    <row r="624" spans="1:32">
      <c r="A624" t="s">
        <v>1954</v>
      </c>
      <c r="B624" s="3">
        <v>45686</v>
      </c>
      <c r="C624" t="str">
        <f t="shared" si="82"/>
        <v>January</v>
      </c>
      <c r="D624">
        <f t="shared" si="83"/>
        <v>2025</v>
      </c>
      <c r="E624" s="3">
        <v>45810</v>
      </c>
      <c r="F624">
        <f t="shared" si="81"/>
        <v>124</v>
      </c>
      <c r="G624" t="s">
        <v>1955</v>
      </c>
      <c r="H624" t="s">
        <v>71</v>
      </c>
      <c r="I624" t="s">
        <v>24</v>
      </c>
      <c r="J624" t="s">
        <v>38</v>
      </c>
      <c r="K624" t="s">
        <v>145</v>
      </c>
      <c r="L624" t="s">
        <v>146</v>
      </c>
      <c r="M624" t="s">
        <v>28</v>
      </c>
      <c r="N624" t="s">
        <v>124</v>
      </c>
      <c r="O624" t="s">
        <v>1956</v>
      </c>
      <c r="P624" t="s">
        <v>59</v>
      </c>
      <c r="Q624">
        <v>4</v>
      </c>
      <c r="R624">
        <v>2759.01</v>
      </c>
      <c r="S624" s="6">
        <v>0.05</v>
      </c>
      <c r="T624" s="6">
        <f t="shared" si="84"/>
        <v>0.05</v>
      </c>
      <c r="U624">
        <v>10484.24</v>
      </c>
      <c r="V624">
        <f t="shared" si="85"/>
        <v>10484.238000000001</v>
      </c>
      <c r="W624" s="6">
        <f t="shared" si="86"/>
        <v>-1.9999999985884642E-3</v>
      </c>
      <c r="X624">
        <v>6680.15</v>
      </c>
      <c r="Y624">
        <v>3804.09</v>
      </c>
      <c r="Z624">
        <f t="shared" si="87"/>
        <v>3804.0880000000016</v>
      </c>
      <c r="AA624" s="6">
        <f t="shared" si="88"/>
        <v>-1.9999999985884642E-3</v>
      </c>
      <c r="AB624">
        <f t="shared" si="89"/>
        <v>0.36283876806306775</v>
      </c>
      <c r="AC624" t="s">
        <v>32</v>
      </c>
      <c r="AD624" t="s">
        <v>33</v>
      </c>
      <c r="AE624" t="s">
        <v>2828</v>
      </c>
    </row>
    <row r="625" spans="1:32">
      <c r="A625" t="s">
        <v>1957</v>
      </c>
      <c r="B625" s="3">
        <v>45512</v>
      </c>
      <c r="C625" t="str">
        <f t="shared" si="82"/>
        <v>August</v>
      </c>
      <c r="D625">
        <f t="shared" si="83"/>
        <v>2024</v>
      </c>
      <c r="E625" s="3">
        <v>45518</v>
      </c>
      <c r="F625">
        <f t="shared" si="81"/>
        <v>6</v>
      </c>
      <c r="G625" t="s">
        <v>1958</v>
      </c>
      <c r="H625" t="s">
        <v>71</v>
      </c>
      <c r="I625" t="s">
        <v>95</v>
      </c>
      <c r="J625" t="s">
        <v>25</v>
      </c>
      <c r="K625" t="s">
        <v>122</v>
      </c>
      <c r="L625" t="s">
        <v>123</v>
      </c>
      <c r="M625" t="s">
        <v>28</v>
      </c>
      <c r="N625" t="s">
        <v>124</v>
      </c>
      <c r="O625" t="s">
        <v>1959</v>
      </c>
      <c r="P625" t="s">
        <v>31</v>
      </c>
      <c r="Q625">
        <v>8</v>
      </c>
      <c r="R625">
        <v>1359.19</v>
      </c>
      <c r="S625" s="6">
        <v>0.05</v>
      </c>
      <c r="T625" s="6">
        <f t="shared" si="84"/>
        <v>0.05</v>
      </c>
      <c r="U625">
        <v>10329.84</v>
      </c>
      <c r="V625">
        <f t="shared" si="85"/>
        <v>10329.843999999999</v>
      </c>
      <c r="W625" s="6">
        <f t="shared" si="86"/>
        <v>3.9999999989959178E-3</v>
      </c>
      <c r="X625">
        <v>7512.22</v>
      </c>
      <c r="Y625">
        <v>2817.62</v>
      </c>
      <c r="Z625">
        <f t="shared" si="87"/>
        <v>2817.6239999999989</v>
      </c>
      <c r="AA625" s="6">
        <f t="shared" si="88"/>
        <v>3.9999999989959178E-3</v>
      </c>
      <c r="AB625">
        <f t="shared" si="89"/>
        <v>0.27276539703794161</v>
      </c>
      <c r="AC625" t="s">
        <v>32</v>
      </c>
      <c r="AD625" t="s">
        <v>33</v>
      </c>
      <c r="AE625" t="s">
        <v>2828</v>
      </c>
    </row>
    <row r="626" spans="1:32">
      <c r="A626" t="s">
        <v>1960</v>
      </c>
      <c r="B626" s="3">
        <v>45321</v>
      </c>
      <c r="C626" t="str">
        <f t="shared" si="82"/>
        <v>January</v>
      </c>
      <c r="D626">
        <f t="shared" si="83"/>
        <v>2024</v>
      </c>
      <c r="E626" s="3">
        <v>45293</v>
      </c>
      <c r="F626">
        <f t="shared" si="81"/>
        <v>-28</v>
      </c>
      <c r="G626" t="s">
        <v>1961</v>
      </c>
      <c r="H626" t="s">
        <v>79</v>
      </c>
      <c r="I626" t="s">
        <v>95</v>
      </c>
      <c r="J626" t="s">
        <v>38</v>
      </c>
      <c r="K626" t="s">
        <v>166</v>
      </c>
      <c r="L626" t="s">
        <v>167</v>
      </c>
      <c r="M626" t="s">
        <v>41</v>
      </c>
      <c r="N626" t="s">
        <v>66</v>
      </c>
      <c r="O626" t="s">
        <v>1962</v>
      </c>
      <c r="P626" t="s">
        <v>50</v>
      </c>
      <c r="Q626">
        <v>2</v>
      </c>
      <c r="R626">
        <v>4451.03</v>
      </c>
      <c r="S626" s="6">
        <v>0.05</v>
      </c>
      <c r="T626" s="6">
        <f t="shared" si="84"/>
        <v>0.05</v>
      </c>
      <c r="U626">
        <v>8456.9599999999991</v>
      </c>
      <c r="V626">
        <f t="shared" si="85"/>
        <v>8456.9569999999985</v>
      </c>
      <c r="W626" s="6">
        <f t="shared" si="86"/>
        <v>-3.0000000006111804E-3</v>
      </c>
      <c r="X626">
        <v>5462.85</v>
      </c>
      <c r="Y626">
        <v>2994.11</v>
      </c>
      <c r="Z626">
        <f t="shared" si="87"/>
        <v>2994.1069999999982</v>
      </c>
      <c r="AA626" s="6">
        <f t="shared" si="88"/>
        <v>-3.0000000019754225E-3</v>
      </c>
      <c r="AB626">
        <f t="shared" si="89"/>
        <v>0.35404070282017502</v>
      </c>
      <c r="AC626" t="s">
        <v>32</v>
      </c>
      <c r="AD626" t="s">
        <v>33</v>
      </c>
      <c r="AE626" t="s">
        <v>2826</v>
      </c>
      <c r="AF626" s="10" t="s">
        <v>2790</v>
      </c>
    </row>
    <row r="627" spans="1:32">
      <c r="A627" t="s">
        <v>1963</v>
      </c>
      <c r="B627" s="3">
        <v>45641</v>
      </c>
      <c r="C627" t="str">
        <f t="shared" si="82"/>
        <v>December</v>
      </c>
      <c r="D627">
        <f t="shared" si="83"/>
        <v>2024</v>
      </c>
      <c r="E627" s="3">
        <v>45647</v>
      </c>
      <c r="F627">
        <f t="shared" si="81"/>
        <v>6</v>
      </c>
      <c r="G627" t="s">
        <v>1964</v>
      </c>
      <c r="H627" t="s">
        <v>162</v>
      </c>
      <c r="I627" t="s">
        <v>90</v>
      </c>
      <c r="J627" t="s">
        <v>63</v>
      </c>
      <c r="K627" t="s">
        <v>26</v>
      </c>
      <c r="L627" t="s">
        <v>109</v>
      </c>
      <c r="M627" t="s">
        <v>41</v>
      </c>
      <c r="N627" t="s">
        <v>66</v>
      </c>
      <c r="O627" t="s">
        <v>1965</v>
      </c>
      <c r="P627" t="s">
        <v>44</v>
      </c>
      <c r="Q627">
        <v>3</v>
      </c>
      <c r="R627">
        <v>527.66999999999996</v>
      </c>
      <c r="S627" s="6">
        <v>0.2</v>
      </c>
      <c r="T627" s="6">
        <f t="shared" si="84"/>
        <v>0.2</v>
      </c>
      <c r="U627">
        <v>1266.4100000000001</v>
      </c>
      <c r="V627">
        <f t="shared" si="85"/>
        <v>1266.4079999999999</v>
      </c>
      <c r="W627" s="6">
        <f t="shared" si="86"/>
        <v>-2.00000000018008E-3</v>
      </c>
      <c r="X627">
        <v>983.92</v>
      </c>
      <c r="Y627">
        <v>282.49</v>
      </c>
      <c r="Z627">
        <f t="shared" si="87"/>
        <v>282.48799999999994</v>
      </c>
      <c r="AA627" s="6">
        <f t="shared" si="88"/>
        <v>-2.0000000000663931E-3</v>
      </c>
      <c r="AB627">
        <f t="shared" si="89"/>
        <v>0.22306239379410109</v>
      </c>
      <c r="AC627" t="s">
        <v>32</v>
      </c>
      <c r="AD627" t="s">
        <v>33</v>
      </c>
      <c r="AE627" t="s">
        <v>2828</v>
      </c>
    </row>
    <row r="628" spans="1:32">
      <c r="A628" t="s">
        <v>1966</v>
      </c>
      <c r="B628" s="3">
        <v>45753</v>
      </c>
      <c r="C628" t="str">
        <f t="shared" si="82"/>
        <v>April</v>
      </c>
      <c r="D628">
        <f t="shared" si="83"/>
        <v>2025</v>
      </c>
      <c r="E628" s="3">
        <v>45815</v>
      </c>
      <c r="F628">
        <f t="shared" si="81"/>
        <v>62</v>
      </c>
      <c r="G628" t="s">
        <v>1967</v>
      </c>
      <c r="H628" t="s">
        <v>132</v>
      </c>
      <c r="I628" t="s">
        <v>95</v>
      </c>
      <c r="J628" t="s">
        <v>38</v>
      </c>
      <c r="K628" t="s">
        <v>166</v>
      </c>
      <c r="L628" t="s">
        <v>167</v>
      </c>
      <c r="M628" t="s">
        <v>74</v>
      </c>
      <c r="N628" t="s">
        <v>274</v>
      </c>
      <c r="O628" t="s">
        <v>1968</v>
      </c>
      <c r="P628" t="s">
        <v>59</v>
      </c>
      <c r="Q628">
        <v>8</v>
      </c>
      <c r="R628">
        <v>1434.13</v>
      </c>
      <c r="S628" s="6">
        <v>0</v>
      </c>
      <c r="T628" s="6">
        <f t="shared" si="84"/>
        <v>0</v>
      </c>
      <c r="U628">
        <v>11473.04</v>
      </c>
      <c r="V628">
        <f t="shared" si="85"/>
        <v>11473.04</v>
      </c>
      <c r="W628" s="6">
        <f t="shared" si="86"/>
        <v>0</v>
      </c>
      <c r="X628">
        <v>8931.33</v>
      </c>
      <c r="Y628">
        <v>2541.71</v>
      </c>
      <c r="Z628">
        <f t="shared" si="87"/>
        <v>2541.7100000000009</v>
      </c>
      <c r="AA628" s="6">
        <f t="shared" si="88"/>
        <v>0</v>
      </c>
      <c r="AB628">
        <f t="shared" si="89"/>
        <v>0.22153762211236086</v>
      </c>
      <c r="AC628" t="s">
        <v>111</v>
      </c>
      <c r="AD628" t="s">
        <v>103</v>
      </c>
      <c r="AE628" t="s">
        <v>2827</v>
      </c>
      <c r="AF628" t="s">
        <v>2814</v>
      </c>
    </row>
    <row r="629" spans="1:32">
      <c r="A629" t="s">
        <v>1969</v>
      </c>
      <c r="B629" s="3">
        <v>45701</v>
      </c>
      <c r="C629" t="str">
        <f t="shared" si="82"/>
        <v>February</v>
      </c>
      <c r="D629">
        <f t="shared" si="83"/>
        <v>2025</v>
      </c>
      <c r="E629" s="3">
        <v>45709</v>
      </c>
      <c r="F629">
        <f t="shared" si="81"/>
        <v>8</v>
      </c>
      <c r="G629" t="s">
        <v>1970</v>
      </c>
      <c r="H629" t="s">
        <v>23</v>
      </c>
      <c r="I629" t="s">
        <v>37</v>
      </c>
      <c r="J629" t="s">
        <v>54</v>
      </c>
      <c r="K629" t="s">
        <v>185</v>
      </c>
      <c r="L629" t="s">
        <v>186</v>
      </c>
      <c r="M629" t="s">
        <v>74</v>
      </c>
      <c r="N629" t="s">
        <v>171</v>
      </c>
      <c r="O629" t="s">
        <v>1971</v>
      </c>
      <c r="P629" t="s">
        <v>31</v>
      </c>
      <c r="Q629">
        <v>2</v>
      </c>
      <c r="R629">
        <v>2360.02</v>
      </c>
      <c r="S629" s="6">
        <v>0.15</v>
      </c>
      <c r="T629" s="6">
        <f t="shared" si="84"/>
        <v>0.15</v>
      </c>
      <c r="U629">
        <v>4012.03</v>
      </c>
      <c r="V629">
        <f t="shared" si="85"/>
        <v>4012.0339999999997</v>
      </c>
      <c r="W629" s="6">
        <f t="shared" si="86"/>
        <v>3.9999999994506652E-3</v>
      </c>
      <c r="X629">
        <v>3142.92</v>
      </c>
      <c r="Y629">
        <v>869.11</v>
      </c>
      <c r="Z629">
        <f t="shared" si="87"/>
        <v>869.11399999999958</v>
      </c>
      <c r="AA629" s="6">
        <f t="shared" si="88"/>
        <v>3.999999999564352E-3</v>
      </c>
      <c r="AB629">
        <f t="shared" si="89"/>
        <v>0.21662677833737193</v>
      </c>
      <c r="AC629" t="s">
        <v>111</v>
      </c>
      <c r="AD629" t="s">
        <v>68</v>
      </c>
      <c r="AE629" t="s">
        <v>2827</v>
      </c>
      <c r="AF629" t="s">
        <v>2804</v>
      </c>
    </row>
    <row r="630" spans="1:32">
      <c r="A630" t="s">
        <v>1972</v>
      </c>
      <c r="B630" s="3">
        <v>45787</v>
      </c>
      <c r="C630" t="str">
        <f t="shared" si="82"/>
        <v>May</v>
      </c>
      <c r="D630">
        <f t="shared" si="83"/>
        <v>2025</v>
      </c>
      <c r="E630" s="3">
        <v>46001</v>
      </c>
      <c r="F630">
        <f t="shared" si="81"/>
        <v>214</v>
      </c>
      <c r="G630" t="s">
        <v>1973</v>
      </c>
      <c r="H630" t="s">
        <v>62</v>
      </c>
      <c r="I630" t="s">
        <v>95</v>
      </c>
      <c r="J630" t="s">
        <v>38</v>
      </c>
      <c r="K630" t="s">
        <v>228</v>
      </c>
      <c r="L630" t="s">
        <v>229</v>
      </c>
      <c r="M630" t="s">
        <v>74</v>
      </c>
      <c r="N630" t="s">
        <v>75</v>
      </c>
      <c r="O630" t="s">
        <v>1974</v>
      </c>
      <c r="P630" t="s">
        <v>44</v>
      </c>
      <c r="Q630">
        <v>7</v>
      </c>
      <c r="R630">
        <v>806.67</v>
      </c>
      <c r="S630" s="6">
        <v>0.05</v>
      </c>
      <c r="T630" s="6">
        <f t="shared" si="84"/>
        <v>0.05</v>
      </c>
      <c r="U630">
        <v>5364.36</v>
      </c>
      <c r="V630">
        <f t="shared" si="85"/>
        <v>5364.3554999999997</v>
      </c>
      <c r="W630" s="6">
        <f t="shared" si="86"/>
        <v>-4.500000000007276E-3</v>
      </c>
      <c r="X630">
        <v>4391.29</v>
      </c>
      <c r="Y630">
        <v>973.07</v>
      </c>
      <c r="Z630">
        <f t="shared" si="87"/>
        <v>973.0654999999997</v>
      </c>
      <c r="AA630" s="6">
        <f t="shared" si="88"/>
        <v>-4.5000000003483365E-3</v>
      </c>
      <c r="AB630">
        <f t="shared" si="89"/>
        <v>0.18139467080434915</v>
      </c>
      <c r="AC630" t="s">
        <v>32</v>
      </c>
      <c r="AD630" t="s">
        <v>33</v>
      </c>
      <c r="AE630" t="s">
        <v>2828</v>
      </c>
    </row>
    <row r="631" spans="1:32">
      <c r="A631" t="s">
        <v>1975</v>
      </c>
      <c r="B631" s="3">
        <v>45910</v>
      </c>
      <c r="C631" t="str">
        <f t="shared" si="82"/>
        <v>September</v>
      </c>
      <c r="D631">
        <f t="shared" si="83"/>
        <v>2025</v>
      </c>
      <c r="E631" s="3">
        <v>45914</v>
      </c>
      <c r="F631">
        <f t="shared" si="81"/>
        <v>4</v>
      </c>
      <c r="G631" t="s">
        <v>1976</v>
      </c>
      <c r="H631" t="s">
        <v>53</v>
      </c>
      <c r="I631" t="s">
        <v>95</v>
      </c>
      <c r="J631" t="s">
        <v>63</v>
      </c>
      <c r="K631" t="s">
        <v>180</v>
      </c>
      <c r="L631" t="s">
        <v>181</v>
      </c>
      <c r="M631" t="s">
        <v>41</v>
      </c>
      <c r="N631" t="s">
        <v>42</v>
      </c>
      <c r="O631" t="s">
        <v>1977</v>
      </c>
      <c r="P631" t="s">
        <v>44</v>
      </c>
      <c r="Q631">
        <v>3</v>
      </c>
      <c r="R631">
        <v>4198.46</v>
      </c>
      <c r="S631" s="6">
        <v>0.15</v>
      </c>
      <c r="T631" s="6">
        <f t="shared" si="84"/>
        <v>0.15</v>
      </c>
      <c r="U631">
        <v>10706.07</v>
      </c>
      <c r="V631">
        <f t="shared" si="85"/>
        <v>10706.073</v>
      </c>
      <c r="W631" s="6">
        <f t="shared" si="86"/>
        <v>3.0000000006111804E-3</v>
      </c>
      <c r="X631">
        <v>5927.1</v>
      </c>
      <c r="Y631">
        <v>4778.97</v>
      </c>
      <c r="Z631">
        <f t="shared" si="87"/>
        <v>4778.973</v>
      </c>
      <c r="AA631" s="6">
        <f t="shared" si="88"/>
        <v>2.9999999997016857E-3</v>
      </c>
      <c r="AB631">
        <f t="shared" si="89"/>
        <v>0.44637963892082555</v>
      </c>
      <c r="AC631" t="s">
        <v>32</v>
      </c>
      <c r="AD631" t="s">
        <v>33</v>
      </c>
      <c r="AE631" t="s">
        <v>2828</v>
      </c>
    </row>
    <row r="632" spans="1:32">
      <c r="A632" t="s">
        <v>1978</v>
      </c>
      <c r="B632" s="3">
        <v>45539</v>
      </c>
      <c r="C632" t="str">
        <f t="shared" si="82"/>
        <v>September</v>
      </c>
      <c r="D632">
        <f t="shared" si="83"/>
        <v>2024</v>
      </c>
      <c r="E632" s="3">
        <v>45569</v>
      </c>
      <c r="F632">
        <f t="shared" si="81"/>
        <v>30</v>
      </c>
      <c r="G632" t="s">
        <v>1979</v>
      </c>
      <c r="H632" t="s">
        <v>114</v>
      </c>
      <c r="I632" t="s">
        <v>90</v>
      </c>
      <c r="J632" t="s">
        <v>38</v>
      </c>
      <c r="K632" t="s">
        <v>166</v>
      </c>
      <c r="L632" t="s">
        <v>167</v>
      </c>
      <c r="M632" t="s">
        <v>28</v>
      </c>
      <c r="N632" t="s">
        <v>29</v>
      </c>
      <c r="O632" t="s">
        <v>1980</v>
      </c>
      <c r="P632" t="s">
        <v>59</v>
      </c>
      <c r="Q632">
        <v>4</v>
      </c>
      <c r="R632">
        <v>3047.05</v>
      </c>
      <c r="S632" s="6">
        <v>0.1</v>
      </c>
      <c r="T632" s="6">
        <f t="shared" si="84"/>
        <v>0.1</v>
      </c>
      <c r="U632">
        <v>10969.38</v>
      </c>
      <c r="V632">
        <f t="shared" si="85"/>
        <v>10969.380000000001</v>
      </c>
      <c r="W632" s="6">
        <f t="shared" si="86"/>
        <v>0</v>
      </c>
      <c r="X632">
        <v>9254.4599999999991</v>
      </c>
      <c r="Y632">
        <v>1714.92</v>
      </c>
      <c r="Z632">
        <f t="shared" si="87"/>
        <v>1714.9200000000019</v>
      </c>
      <c r="AA632" s="6">
        <f t="shared" si="88"/>
        <v>1.8189894035458565E-12</v>
      </c>
      <c r="AB632">
        <f t="shared" si="89"/>
        <v>0.15633700354988173</v>
      </c>
      <c r="AC632" t="s">
        <v>32</v>
      </c>
      <c r="AD632" t="s">
        <v>33</v>
      </c>
      <c r="AE632" t="s">
        <v>2828</v>
      </c>
    </row>
    <row r="633" spans="1:32">
      <c r="A633" t="s">
        <v>1981</v>
      </c>
      <c r="B633" s="3">
        <v>45569</v>
      </c>
      <c r="C633" t="str">
        <f t="shared" si="82"/>
        <v>October</v>
      </c>
      <c r="D633">
        <f t="shared" si="83"/>
        <v>2024</v>
      </c>
      <c r="E633" s="3">
        <v>45397</v>
      </c>
      <c r="F633">
        <f t="shared" si="81"/>
        <v>-172</v>
      </c>
      <c r="G633" t="s">
        <v>1982</v>
      </c>
      <c r="H633" t="s">
        <v>128</v>
      </c>
      <c r="I633" t="s">
        <v>95</v>
      </c>
      <c r="J633" t="s">
        <v>63</v>
      </c>
      <c r="K633" t="s">
        <v>26</v>
      </c>
      <c r="L633" t="s">
        <v>109</v>
      </c>
      <c r="M633" t="s">
        <v>41</v>
      </c>
      <c r="N633" t="s">
        <v>66</v>
      </c>
      <c r="O633" t="s">
        <v>1983</v>
      </c>
      <c r="P633" t="s">
        <v>59</v>
      </c>
      <c r="Q633">
        <v>8</v>
      </c>
      <c r="R633">
        <v>4362.4799999999996</v>
      </c>
      <c r="S633" s="6">
        <v>0.1</v>
      </c>
      <c r="T633" s="6">
        <f t="shared" si="84"/>
        <v>0.1</v>
      </c>
      <c r="U633">
        <v>31409.86</v>
      </c>
      <c r="V633">
        <f t="shared" si="85"/>
        <v>31409.855999999996</v>
      </c>
      <c r="W633" s="6">
        <f t="shared" si="86"/>
        <v>-4.0000000044528861E-3</v>
      </c>
      <c r="X633">
        <v>22523.54</v>
      </c>
      <c r="Y633">
        <v>8886.32</v>
      </c>
      <c r="Z633">
        <f t="shared" si="87"/>
        <v>8886.3159999999953</v>
      </c>
      <c r="AA633" s="6">
        <f t="shared" si="88"/>
        <v>-4.0000000044528861E-3</v>
      </c>
      <c r="AB633">
        <f t="shared" si="89"/>
        <v>0.2829148914277097</v>
      </c>
      <c r="AC633" t="s">
        <v>32</v>
      </c>
      <c r="AD633" t="s">
        <v>33</v>
      </c>
      <c r="AE633" t="s">
        <v>2826</v>
      </c>
      <c r="AF633" s="10" t="s">
        <v>2790</v>
      </c>
    </row>
    <row r="634" spans="1:32">
      <c r="A634" t="s">
        <v>1984</v>
      </c>
      <c r="B634" s="3">
        <v>45762</v>
      </c>
      <c r="C634" t="str">
        <f t="shared" si="82"/>
        <v>April</v>
      </c>
      <c r="D634">
        <f t="shared" si="83"/>
        <v>2025</v>
      </c>
      <c r="E634" s="3">
        <v>45763</v>
      </c>
      <c r="F634">
        <f t="shared" si="81"/>
        <v>1</v>
      </c>
      <c r="G634" t="s">
        <v>1985</v>
      </c>
      <c r="H634" t="s">
        <v>132</v>
      </c>
      <c r="I634" t="s">
        <v>37</v>
      </c>
      <c r="J634" t="s">
        <v>54</v>
      </c>
      <c r="K634" t="s">
        <v>175</v>
      </c>
      <c r="L634" t="s">
        <v>176</v>
      </c>
      <c r="M634" t="s">
        <v>41</v>
      </c>
      <c r="N634" t="s">
        <v>57</v>
      </c>
      <c r="O634" t="s">
        <v>1986</v>
      </c>
      <c r="P634" t="s">
        <v>50</v>
      </c>
      <c r="Q634">
        <v>5</v>
      </c>
      <c r="R634">
        <v>2850.53</v>
      </c>
      <c r="S634" s="6">
        <v>0</v>
      </c>
      <c r="T634" s="6">
        <f t="shared" si="84"/>
        <v>0</v>
      </c>
      <c r="U634">
        <v>14252.65</v>
      </c>
      <c r="V634">
        <f t="shared" si="85"/>
        <v>14252.650000000001</v>
      </c>
      <c r="W634" s="6">
        <f t="shared" si="86"/>
        <v>0</v>
      </c>
      <c r="X634">
        <v>11558.31</v>
      </c>
      <c r="Y634">
        <v>2694.34</v>
      </c>
      <c r="Z634">
        <f t="shared" si="87"/>
        <v>2694.340000000002</v>
      </c>
      <c r="AA634" s="6">
        <f t="shared" si="88"/>
        <v>0</v>
      </c>
      <c r="AB634">
        <f t="shared" si="89"/>
        <v>0.18904133617257154</v>
      </c>
      <c r="AC634" t="s">
        <v>32</v>
      </c>
      <c r="AD634" t="s">
        <v>33</v>
      </c>
      <c r="AE634" t="s">
        <v>2828</v>
      </c>
    </row>
    <row r="635" spans="1:32">
      <c r="A635" t="s">
        <v>1987</v>
      </c>
      <c r="B635" s="3">
        <v>45765</v>
      </c>
      <c r="C635" t="str">
        <f t="shared" si="82"/>
        <v>April</v>
      </c>
      <c r="D635">
        <f t="shared" si="83"/>
        <v>2025</v>
      </c>
      <c r="E635" s="3">
        <v>45767</v>
      </c>
      <c r="F635">
        <f t="shared" si="81"/>
        <v>2</v>
      </c>
      <c r="G635" t="s">
        <v>1988</v>
      </c>
      <c r="H635" t="s">
        <v>128</v>
      </c>
      <c r="I635" t="s">
        <v>37</v>
      </c>
      <c r="J635" t="s">
        <v>54</v>
      </c>
      <c r="K635" t="s">
        <v>247</v>
      </c>
      <c r="L635" t="s">
        <v>248</v>
      </c>
      <c r="M635" t="s">
        <v>74</v>
      </c>
      <c r="N635" t="s">
        <v>75</v>
      </c>
      <c r="O635" t="s">
        <v>1989</v>
      </c>
      <c r="P635" t="s">
        <v>31</v>
      </c>
      <c r="Q635">
        <v>1</v>
      </c>
      <c r="R635">
        <v>1626.08</v>
      </c>
      <c r="S635" s="6">
        <v>0.15</v>
      </c>
      <c r="T635" s="6">
        <f t="shared" si="84"/>
        <v>0.15</v>
      </c>
      <c r="U635">
        <v>1382.17</v>
      </c>
      <c r="V635">
        <f t="shared" si="85"/>
        <v>1382.1679999999999</v>
      </c>
      <c r="W635" s="6">
        <f t="shared" si="86"/>
        <v>-2.00000000018008E-3</v>
      </c>
      <c r="X635">
        <v>810.03</v>
      </c>
      <c r="Y635">
        <v>572.14</v>
      </c>
      <c r="Z635">
        <f t="shared" si="87"/>
        <v>572.13799999999992</v>
      </c>
      <c r="AA635" s="6">
        <f t="shared" si="88"/>
        <v>-2.0000000000663931E-3</v>
      </c>
      <c r="AB635">
        <f t="shared" si="89"/>
        <v>0.4139424440444287</v>
      </c>
      <c r="AC635" t="s">
        <v>32</v>
      </c>
      <c r="AD635" t="s">
        <v>33</v>
      </c>
      <c r="AE635" t="s">
        <v>2828</v>
      </c>
    </row>
    <row r="636" spans="1:32">
      <c r="A636" t="s">
        <v>1990</v>
      </c>
      <c r="B636" s="3">
        <v>45668</v>
      </c>
      <c r="C636" t="str">
        <f t="shared" si="82"/>
        <v>January</v>
      </c>
      <c r="D636">
        <f t="shared" si="83"/>
        <v>2025</v>
      </c>
      <c r="E636" s="3">
        <v>45992</v>
      </c>
      <c r="F636">
        <f t="shared" si="81"/>
        <v>324</v>
      </c>
      <c r="G636" t="s">
        <v>1991</v>
      </c>
      <c r="H636" t="s">
        <v>89</v>
      </c>
      <c r="I636" t="s">
        <v>24</v>
      </c>
      <c r="J636" t="s">
        <v>54</v>
      </c>
      <c r="K636" t="s">
        <v>55</v>
      </c>
      <c r="L636" t="s">
        <v>56</v>
      </c>
      <c r="M636" t="s">
        <v>41</v>
      </c>
      <c r="N636" t="s">
        <v>66</v>
      </c>
      <c r="O636" t="s">
        <v>1992</v>
      </c>
      <c r="P636" t="s">
        <v>31</v>
      </c>
      <c r="Q636">
        <v>4</v>
      </c>
      <c r="R636">
        <v>2427.15</v>
      </c>
      <c r="S636" s="6">
        <v>0.05</v>
      </c>
      <c r="T636" s="6">
        <f t="shared" si="84"/>
        <v>0.05</v>
      </c>
      <c r="U636">
        <v>9223.17</v>
      </c>
      <c r="V636">
        <f t="shared" si="85"/>
        <v>9223.17</v>
      </c>
      <c r="W636" s="6">
        <f t="shared" si="86"/>
        <v>0</v>
      </c>
      <c r="X636">
        <v>5103.7</v>
      </c>
      <c r="Y636">
        <v>4119.47</v>
      </c>
      <c r="Z636">
        <f t="shared" si="87"/>
        <v>4119.47</v>
      </c>
      <c r="AA636" s="6">
        <f t="shared" si="88"/>
        <v>0</v>
      </c>
      <c r="AB636">
        <f t="shared" si="89"/>
        <v>0.44664361602355807</v>
      </c>
      <c r="AC636" t="s">
        <v>32</v>
      </c>
      <c r="AD636" t="s">
        <v>33</v>
      </c>
      <c r="AE636" t="s">
        <v>2828</v>
      </c>
    </row>
    <row r="637" spans="1:32">
      <c r="A637" t="s">
        <v>1993</v>
      </c>
      <c r="B637" s="3">
        <v>45432</v>
      </c>
      <c r="C637" t="str">
        <f t="shared" si="82"/>
        <v>May</v>
      </c>
      <c r="D637">
        <f t="shared" si="83"/>
        <v>2024</v>
      </c>
      <c r="E637" s="3">
        <v>45437</v>
      </c>
      <c r="F637">
        <f t="shared" si="81"/>
        <v>5</v>
      </c>
      <c r="G637" t="s">
        <v>1994</v>
      </c>
      <c r="H637" t="s">
        <v>36</v>
      </c>
      <c r="I637" t="s">
        <v>90</v>
      </c>
      <c r="J637" t="s">
        <v>54</v>
      </c>
      <c r="K637" t="s">
        <v>84</v>
      </c>
      <c r="L637" t="s">
        <v>85</v>
      </c>
      <c r="M637" t="s">
        <v>41</v>
      </c>
      <c r="N637" t="s">
        <v>66</v>
      </c>
      <c r="O637" t="s">
        <v>1995</v>
      </c>
      <c r="P637" t="s">
        <v>44</v>
      </c>
      <c r="Q637">
        <v>7</v>
      </c>
      <c r="R637">
        <v>3122.85</v>
      </c>
      <c r="S637" s="6">
        <v>0.25</v>
      </c>
      <c r="T637" s="6">
        <f t="shared" si="84"/>
        <v>0.25</v>
      </c>
      <c r="U637">
        <v>16394.96</v>
      </c>
      <c r="V637">
        <f t="shared" si="85"/>
        <v>16394.962500000001</v>
      </c>
      <c r="W637" s="6">
        <f t="shared" si="86"/>
        <v>2.5000000023283064E-3</v>
      </c>
      <c r="X637">
        <v>10404.17</v>
      </c>
      <c r="Y637">
        <v>5990.79</v>
      </c>
      <c r="Z637">
        <f t="shared" si="87"/>
        <v>5990.7925000000014</v>
      </c>
      <c r="AA637" s="6">
        <f t="shared" si="88"/>
        <v>2.5000000014188117E-3</v>
      </c>
      <c r="AB637">
        <f t="shared" si="89"/>
        <v>0.36540446493854445</v>
      </c>
      <c r="AC637" t="s">
        <v>32</v>
      </c>
      <c r="AD637" t="s">
        <v>33</v>
      </c>
      <c r="AE637" t="s">
        <v>2828</v>
      </c>
    </row>
    <row r="638" spans="1:32">
      <c r="A638" t="s">
        <v>1996</v>
      </c>
      <c r="B638" s="3">
        <v>45332</v>
      </c>
      <c r="C638" t="str">
        <f t="shared" si="82"/>
        <v>February</v>
      </c>
      <c r="D638">
        <f t="shared" si="83"/>
        <v>2024</v>
      </c>
      <c r="E638" s="3">
        <v>45545</v>
      </c>
      <c r="F638">
        <f t="shared" si="81"/>
        <v>213</v>
      </c>
      <c r="G638" t="s">
        <v>1997</v>
      </c>
      <c r="H638" t="s">
        <v>62</v>
      </c>
      <c r="I638" t="s">
        <v>24</v>
      </c>
      <c r="J638" t="s">
        <v>54</v>
      </c>
      <c r="K638" t="s">
        <v>247</v>
      </c>
      <c r="L638" t="s">
        <v>248</v>
      </c>
      <c r="M638" t="s">
        <v>28</v>
      </c>
      <c r="N638" t="s">
        <v>29</v>
      </c>
      <c r="O638" t="s">
        <v>1998</v>
      </c>
      <c r="P638" t="s">
        <v>59</v>
      </c>
      <c r="Q638">
        <v>8</v>
      </c>
      <c r="R638">
        <v>1910.31</v>
      </c>
      <c r="S638" s="6">
        <v>0.15</v>
      </c>
      <c r="T638" s="6">
        <f t="shared" si="84"/>
        <v>0.15</v>
      </c>
      <c r="U638">
        <v>12990.11</v>
      </c>
      <c r="V638">
        <f t="shared" si="85"/>
        <v>12990.108</v>
      </c>
      <c r="W638" s="6">
        <f t="shared" si="86"/>
        <v>-2.0000000004074536E-3</v>
      </c>
      <c r="X638">
        <v>10200.799999999999</v>
      </c>
      <c r="Y638">
        <v>2789.31</v>
      </c>
      <c r="Z638">
        <f t="shared" si="87"/>
        <v>2789.3080000000009</v>
      </c>
      <c r="AA638" s="6">
        <f t="shared" si="88"/>
        <v>-1.9999999990432116E-3</v>
      </c>
      <c r="AB638">
        <f t="shared" si="89"/>
        <v>0.2147255434673831</v>
      </c>
      <c r="AC638" t="s">
        <v>32</v>
      </c>
      <c r="AD638" t="s">
        <v>33</v>
      </c>
      <c r="AE638" t="s">
        <v>2828</v>
      </c>
    </row>
    <row r="639" spans="1:32">
      <c r="A639" t="s">
        <v>1999</v>
      </c>
      <c r="B639" s="3">
        <v>45438</v>
      </c>
      <c r="C639" t="str">
        <f t="shared" si="82"/>
        <v>May</v>
      </c>
      <c r="D639">
        <f t="shared" si="83"/>
        <v>2024</v>
      </c>
      <c r="E639" s="3">
        <v>45438</v>
      </c>
      <c r="F639">
        <f t="shared" si="81"/>
        <v>0</v>
      </c>
      <c r="G639" t="s">
        <v>2000</v>
      </c>
      <c r="H639" t="s">
        <v>118</v>
      </c>
      <c r="I639" t="s">
        <v>37</v>
      </c>
      <c r="J639" t="s">
        <v>63</v>
      </c>
      <c r="K639" t="s">
        <v>190</v>
      </c>
      <c r="L639" t="s">
        <v>191</v>
      </c>
      <c r="M639" t="s">
        <v>74</v>
      </c>
      <c r="N639" t="s">
        <v>80</v>
      </c>
      <c r="O639" t="s">
        <v>2001</v>
      </c>
      <c r="P639" t="s">
        <v>50</v>
      </c>
      <c r="Q639">
        <v>2</v>
      </c>
      <c r="R639">
        <v>3192.47</v>
      </c>
      <c r="S639" s="6">
        <v>0.2</v>
      </c>
      <c r="T639" s="6">
        <f t="shared" si="84"/>
        <v>0.2</v>
      </c>
      <c r="U639">
        <v>5107.95</v>
      </c>
      <c r="V639">
        <f t="shared" si="85"/>
        <v>5107.9520000000002</v>
      </c>
      <c r="W639" s="6">
        <f t="shared" si="86"/>
        <v>2.0000000004074536E-3</v>
      </c>
      <c r="X639">
        <v>3133.08</v>
      </c>
      <c r="Y639">
        <v>1974.87</v>
      </c>
      <c r="Z639">
        <f t="shared" si="87"/>
        <v>1974.8720000000003</v>
      </c>
      <c r="AA639" s="6">
        <f t="shared" si="88"/>
        <v>2.0000000004074536E-3</v>
      </c>
      <c r="AB639">
        <f t="shared" si="89"/>
        <v>0.38662696908663202</v>
      </c>
      <c r="AC639" t="s">
        <v>32</v>
      </c>
      <c r="AD639" t="s">
        <v>33</v>
      </c>
      <c r="AE639" t="s">
        <v>2828</v>
      </c>
    </row>
    <row r="640" spans="1:32">
      <c r="A640" t="s">
        <v>2002</v>
      </c>
      <c r="B640" s="3">
        <v>45317</v>
      </c>
      <c r="C640" t="str">
        <f t="shared" si="82"/>
        <v>January</v>
      </c>
      <c r="D640">
        <f t="shared" si="83"/>
        <v>2024</v>
      </c>
      <c r="E640" s="3">
        <v>45322</v>
      </c>
      <c r="F640">
        <f t="shared" si="81"/>
        <v>5</v>
      </c>
      <c r="G640" t="s">
        <v>2003</v>
      </c>
      <c r="H640" t="s">
        <v>23</v>
      </c>
      <c r="I640" t="s">
        <v>90</v>
      </c>
      <c r="J640" t="s">
        <v>54</v>
      </c>
      <c r="K640" t="s">
        <v>185</v>
      </c>
      <c r="L640" t="s">
        <v>186</v>
      </c>
      <c r="M640" t="s">
        <v>28</v>
      </c>
      <c r="N640" t="s">
        <v>124</v>
      </c>
      <c r="O640" t="s">
        <v>2004</v>
      </c>
      <c r="P640" t="s">
        <v>31</v>
      </c>
      <c r="Q640">
        <v>3</v>
      </c>
      <c r="R640">
        <v>3224.32</v>
      </c>
      <c r="S640" s="6">
        <v>0.2</v>
      </c>
      <c r="T640" s="6">
        <f t="shared" si="84"/>
        <v>0.2</v>
      </c>
      <c r="U640">
        <v>7738.37</v>
      </c>
      <c r="V640">
        <f t="shared" si="85"/>
        <v>7738.3680000000013</v>
      </c>
      <c r="W640" s="6">
        <f t="shared" si="86"/>
        <v>-1.9999999985884642E-3</v>
      </c>
      <c r="X640">
        <v>4626.8500000000004</v>
      </c>
      <c r="Y640">
        <v>3111.52</v>
      </c>
      <c r="Z640">
        <f t="shared" si="87"/>
        <v>3111.5180000000009</v>
      </c>
      <c r="AA640" s="6">
        <f t="shared" si="88"/>
        <v>-1.9999999990432116E-3</v>
      </c>
      <c r="AB640">
        <f t="shared" si="89"/>
        <v>0.40208969126306743</v>
      </c>
      <c r="AC640" t="s">
        <v>155</v>
      </c>
      <c r="AD640" t="s">
        <v>103</v>
      </c>
      <c r="AE640" t="s">
        <v>2827</v>
      </c>
      <c r="AF640" s="10" t="s">
        <v>2821</v>
      </c>
    </row>
    <row r="641" spans="1:32">
      <c r="A641" t="s">
        <v>2005</v>
      </c>
      <c r="B641" s="3">
        <v>45653</v>
      </c>
      <c r="C641" t="str">
        <f t="shared" si="82"/>
        <v>December</v>
      </c>
      <c r="D641">
        <f t="shared" si="83"/>
        <v>2024</v>
      </c>
      <c r="E641" s="3">
        <v>45657</v>
      </c>
      <c r="F641">
        <f t="shared" si="81"/>
        <v>4</v>
      </c>
      <c r="G641" t="s">
        <v>2006</v>
      </c>
      <c r="H641" t="s">
        <v>47</v>
      </c>
      <c r="I641" t="s">
        <v>37</v>
      </c>
      <c r="J641" t="s">
        <v>38</v>
      </c>
      <c r="K641" t="s">
        <v>39</v>
      </c>
      <c r="L641" t="s">
        <v>40</v>
      </c>
      <c r="M641" t="s">
        <v>41</v>
      </c>
      <c r="N641" t="s">
        <v>66</v>
      </c>
      <c r="O641" t="s">
        <v>2007</v>
      </c>
      <c r="P641" t="s">
        <v>31</v>
      </c>
      <c r="Q641">
        <v>1</v>
      </c>
      <c r="R641">
        <v>1594.7</v>
      </c>
      <c r="S641" s="6">
        <v>0.05</v>
      </c>
      <c r="T641" s="6">
        <f t="shared" si="84"/>
        <v>0.05</v>
      </c>
      <c r="U641">
        <v>1514.96</v>
      </c>
      <c r="V641">
        <f t="shared" si="85"/>
        <v>1514.9649999999999</v>
      </c>
      <c r="W641" s="6">
        <f t="shared" si="86"/>
        <v>4.9999999998817657E-3</v>
      </c>
      <c r="X641">
        <v>1046.17</v>
      </c>
      <c r="Y641">
        <v>468.79</v>
      </c>
      <c r="Z641">
        <f t="shared" si="87"/>
        <v>468.79499999999985</v>
      </c>
      <c r="AA641" s="6">
        <f t="shared" si="88"/>
        <v>4.9999999998249223E-3</v>
      </c>
      <c r="AB641">
        <f t="shared" si="89"/>
        <v>0.3094427924077453</v>
      </c>
      <c r="AC641" t="s">
        <v>32</v>
      </c>
      <c r="AD641" t="s">
        <v>33</v>
      </c>
      <c r="AE641" t="s">
        <v>2828</v>
      </c>
    </row>
    <row r="642" spans="1:32">
      <c r="A642" t="s">
        <v>2008</v>
      </c>
      <c r="B642" s="3">
        <v>45671</v>
      </c>
      <c r="C642" t="str">
        <f t="shared" si="82"/>
        <v>January</v>
      </c>
      <c r="D642">
        <f t="shared" si="83"/>
        <v>2025</v>
      </c>
      <c r="E642" s="3">
        <v>45674</v>
      </c>
      <c r="F642">
        <f t="shared" ref="F642:F705" si="90">E642-B642</f>
        <v>3</v>
      </c>
      <c r="G642" t="s">
        <v>2009</v>
      </c>
      <c r="H642" t="s">
        <v>71</v>
      </c>
      <c r="I642" t="s">
        <v>24</v>
      </c>
      <c r="J642" t="s">
        <v>63</v>
      </c>
      <c r="K642" t="s">
        <v>190</v>
      </c>
      <c r="L642" t="s">
        <v>191</v>
      </c>
      <c r="M642" t="s">
        <v>28</v>
      </c>
      <c r="N642" t="s">
        <v>124</v>
      </c>
      <c r="O642" t="s">
        <v>2010</v>
      </c>
      <c r="P642" t="s">
        <v>50</v>
      </c>
      <c r="Q642">
        <v>1</v>
      </c>
      <c r="R642">
        <v>1584.12</v>
      </c>
      <c r="S642" s="6">
        <v>0.2</v>
      </c>
      <c r="T642" s="6">
        <f t="shared" si="84"/>
        <v>0.2</v>
      </c>
      <c r="U642">
        <v>1267.3</v>
      </c>
      <c r="V642">
        <f t="shared" si="85"/>
        <v>1267.296</v>
      </c>
      <c r="W642" s="6">
        <f t="shared" si="86"/>
        <v>-3.9999999999054126E-3</v>
      </c>
      <c r="X642">
        <v>923.53</v>
      </c>
      <c r="Y642">
        <v>343.77</v>
      </c>
      <c r="Z642">
        <f t="shared" si="87"/>
        <v>343.76600000000008</v>
      </c>
      <c r="AA642" s="6">
        <f t="shared" si="88"/>
        <v>-3.9999999999054126E-3</v>
      </c>
      <c r="AB642">
        <f t="shared" si="89"/>
        <v>0.27125943741635739</v>
      </c>
      <c r="AC642" t="s">
        <v>32</v>
      </c>
      <c r="AD642" t="s">
        <v>33</v>
      </c>
      <c r="AE642" t="s">
        <v>2828</v>
      </c>
    </row>
    <row r="643" spans="1:32">
      <c r="A643" t="s">
        <v>2011</v>
      </c>
      <c r="B643" s="3">
        <v>45904</v>
      </c>
      <c r="C643" t="str">
        <f t="shared" ref="C643:C706" si="91">TEXT(B643, "mmmm")</f>
        <v>September</v>
      </c>
      <c r="D643">
        <f t="shared" ref="D643:D706" si="92">YEAR(B643)</f>
        <v>2025</v>
      </c>
      <c r="E643" s="3">
        <v>45761</v>
      </c>
      <c r="F643">
        <f t="shared" si="90"/>
        <v>-143</v>
      </c>
      <c r="G643" t="s">
        <v>2012</v>
      </c>
      <c r="H643" t="s">
        <v>23</v>
      </c>
      <c r="I643" t="s">
        <v>24</v>
      </c>
      <c r="J643" t="s">
        <v>25</v>
      </c>
      <c r="K643" t="s">
        <v>350</v>
      </c>
      <c r="L643" t="s">
        <v>351</v>
      </c>
      <c r="M643" t="s">
        <v>41</v>
      </c>
      <c r="N643" t="s">
        <v>57</v>
      </c>
      <c r="O643" t="s">
        <v>2013</v>
      </c>
      <c r="P643" t="s">
        <v>44</v>
      </c>
      <c r="Q643">
        <v>2</v>
      </c>
      <c r="R643">
        <v>3202.87</v>
      </c>
      <c r="S643" s="6">
        <v>0</v>
      </c>
      <c r="T643" s="6">
        <f t="shared" ref="T643:T706" si="93">ABS(S643)</f>
        <v>0</v>
      </c>
      <c r="U643">
        <v>6405.74</v>
      </c>
      <c r="V643">
        <f t="shared" ref="V643:V706" si="94">Q643*R643*(1-T643)</f>
        <v>6405.74</v>
      </c>
      <c r="W643" s="6">
        <f t="shared" ref="W643:W706" si="95">V643-U643</f>
        <v>0</v>
      </c>
      <c r="X643">
        <v>3561.87</v>
      </c>
      <c r="Y643">
        <v>2843.87</v>
      </c>
      <c r="Z643">
        <f t="shared" ref="Z643:Z706" si="96">V643-X643</f>
        <v>2843.87</v>
      </c>
      <c r="AA643" s="6">
        <f t="shared" ref="AA643:AA706" si="97">Z643-Y643</f>
        <v>0</v>
      </c>
      <c r="AB643">
        <f t="shared" ref="AB643:AB706" si="98">Z643/V643</f>
        <v>0.44395651400150488</v>
      </c>
      <c r="AC643" t="s">
        <v>32</v>
      </c>
      <c r="AD643" t="s">
        <v>33</v>
      </c>
      <c r="AE643" t="s">
        <v>2826</v>
      </c>
      <c r="AF643" s="10" t="s">
        <v>2790</v>
      </c>
    </row>
    <row r="644" spans="1:32">
      <c r="A644" t="s">
        <v>2014</v>
      </c>
      <c r="B644" s="3">
        <v>45533</v>
      </c>
      <c r="C644" t="str">
        <f t="shared" si="91"/>
        <v>August</v>
      </c>
      <c r="D644">
        <f t="shared" si="92"/>
        <v>2024</v>
      </c>
      <c r="E644" s="3">
        <v>45535</v>
      </c>
      <c r="F644">
        <f t="shared" si="90"/>
        <v>2</v>
      </c>
      <c r="G644" t="s">
        <v>2015</v>
      </c>
      <c r="H644" t="s">
        <v>47</v>
      </c>
      <c r="I644" t="s">
        <v>95</v>
      </c>
      <c r="J644" t="s">
        <v>38</v>
      </c>
      <c r="K644" t="s">
        <v>166</v>
      </c>
      <c r="L644" t="s">
        <v>167</v>
      </c>
      <c r="M644" t="s">
        <v>28</v>
      </c>
      <c r="N644" t="s">
        <v>153</v>
      </c>
      <c r="O644" t="s">
        <v>2016</v>
      </c>
      <c r="P644" t="s">
        <v>31</v>
      </c>
      <c r="Q644">
        <v>9</v>
      </c>
      <c r="R644">
        <v>1275.21</v>
      </c>
      <c r="S644" s="6">
        <v>0.25</v>
      </c>
      <c r="T644" s="6">
        <f t="shared" si="93"/>
        <v>0.25</v>
      </c>
      <c r="U644">
        <v>8607.67</v>
      </c>
      <c r="V644">
        <f t="shared" si="94"/>
        <v>8607.6674999999996</v>
      </c>
      <c r="W644" s="6">
        <f t="shared" si="95"/>
        <v>-2.500000000509317E-3</v>
      </c>
      <c r="X644">
        <v>5337.64</v>
      </c>
      <c r="Y644">
        <v>3270.03</v>
      </c>
      <c r="Z644">
        <f t="shared" si="96"/>
        <v>3270.0274999999992</v>
      </c>
      <c r="AA644" s="6">
        <f t="shared" si="97"/>
        <v>-2.5000000009640644E-3</v>
      </c>
      <c r="AB644">
        <f t="shared" si="98"/>
        <v>0.37989705108846261</v>
      </c>
      <c r="AC644" t="s">
        <v>155</v>
      </c>
      <c r="AD644" t="s">
        <v>103</v>
      </c>
      <c r="AE644" t="s">
        <v>2827</v>
      </c>
      <c r="AF644" s="10" t="s">
        <v>2821</v>
      </c>
    </row>
    <row r="645" spans="1:32">
      <c r="A645" t="s">
        <v>2017</v>
      </c>
      <c r="B645" s="3">
        <v>45414</v>
      </c>
      <c r="C645" t="str">
        <f t="shared" si="91"/>
        <v>May</v>
      </c>
      <c r="D645">
        <f t="shared" si="92"/>
        <v>2024</v>
      </c>
      <c r="E645" s="3">
        <v>45335</v>
      </c>
      <c r="F645">
        <f t="shared" si="90"/>
        <v>-79</v>
      </c>
      <c r="G645" t="s">
        <v>719</v>
      </c>
      <c r="H645" t="s">
        <v>128</v>
      </c>
      <c r="I645" t="s">
        <v>95</v>
      </c>
      <c r="J645" t="s">
        <v>25</v>
      </c>
      <c r="K645" t="s">
        <v>136</v>
      </c>
      <c r="L645" t="s">
        <v>137</v>
      </c>
      <c r="M645" t="s">
        <v>28</v>
      </c>
      <c r="N645" t="s">
        <v>91</v>
      </c>
      <c r="O645" t="s">
        <v>2018</v>
      </c>
      <c r="P645" t="s">
        <v>59</v>
      </c>
      <c r="Q645">
        <v>8</v>
      </c>
      <c r="R645">
        <v>3871.18</v>
      </c>
      <c r="S645" s="6">
        <v>0.15</v>
      </c>
      <c r="T645" s="6">
        <f t="shared" si="93"/>
        <v>0.15</v>
      </c>
      <c r="U645">
        <v>26324.02</v>
      </c>
      <c r="V645">
        <f t="shared" si="94"/>
        <v>26324.023999999998</v>
      </c>
      <c r="W645" s="6">
        <f t="shared" si="95"/>
        <v>3.9999999971769284E-3</v>
      </c>
      <c r="X645">
        <v>16277.96</v>
      </c>
      <c r="Y645">
        <v>10046.06</v>
      </c>
      <c r="Z645">
        <f t="shared" si="96"/>
        <v>10046.063999999998</v>
      </c>
      <c r="AA645" s="6">
        <f t="shared" si="97"/>
        <v>3.9999999989959178E-3</v>
      </c>
      <c r="AB645">
        <f t="shared" si="98"/>
        <v>0.3816310150758106</v>
      </c>
      <c r="AC645" t="s">
        <v>155</v>
      </c>
      <c r="AD645" t="s">
        <v>103</v>
      </c>
      <c r="AE645" t="s">
        <v>2826</v>
      </c>
      <c r="AF645" s="10" t="s">
        <v>2816</v>
      </c>
    </row>
    <row r="646" spans="1:32">
      <c r="A646" t="s">
        <v>2019</v>
      </c>
      <c r="B646" s="3">
        <v>45934</v>
      </c>
      <c r="C646" t="str">
        <f t="shared" si="91"/>
        <v>October</v>
      </c>
      <c r="D646">
        <f t="shared" si="92"/>
        <v>2025</v>
      </c>
      <c r="E646" s="3">
        <v>45764</v>
      </c>
      <c r="F646">
        <f t="shared" si="90"/>
        <v>-170</v>
      </c>
      <c r="G646" t="s">
        <v>2020</v>
      </c>
      <c r="H646" t="s">
        <v>71</v>
      </c>
      <c r="I646" t="s">
        <v>24</v>
      </c>
      <c r="J646" t="s">
        <v>38</v>
      </c>
      <c r="K646" t="s">
        <v>99</v>
      </c>
      <c r="L646" t="s">
        <v>100</v>
      </c>
      <c r="M646" t="s">
        <v>41</v>
      </c>
      <c r="N646" t="s">
        <v>66</v>
      </c>
      <c r="O646" t="s">
        <v>2021</v>
      </c>
      <c r="P646" t="s">
        <v>59</v>
      </c>
      <c r="Q646">
        <v>4</v>
      </c>
      <c r="R646">
        <v>3750.02</v>
      </c>
      <c r="S646" s="6">
        <v>0.05</v>
      </c>
      <c r="T646" s="6">
        <f t="shared" si="93"/>
        <v>0.05</v>
      </c>
      <c r="U646">
        <v>14250.08</v>
      </c>
      <c r="V646">
        <f t="shared" si="94"/>
        <v>14250.075999999999</v>
      </c>
      <c r="W646" s="6">
        <f t="shared" si="95"/>
        <v>-4.0000000008149073E-3</v>
      </c>
      <c r="X646">
        <v>10914.92</v>
      </c>
      <c r="Y646">
        <v>3335.16</v>
      </c>
      <c r="Z646">
        <f t="shared" si="96"/>
        <v>3335.155999999999</v>
      </c>
      <c r="AA646" s="6">
        <f t="shared" si="97"/>
        <v>-4.0000000008149073E-3</v>
      </c>
      <c r="AB646">
        <f t="shared" si="98"/>
        <v>0.23404478684885605</v>
      </c>
      <c r="AC646" t="s">
        <v>32</v>
      </c>
      <c r="AD646" t="s">
        <v>33</v>
      </c>
      <c r="AE646" t="s">
        <v>2826</v>
      </c>
      <c r="AF646" s="10" t="s">
        <v>2790</v>
      </c>
    </row>
    <row r="647" spans="1:32">
      <c r="A647" t="s">
        <v>2022</v>
      </c>
      <c r="B647" s="3">
        <v>45383</v>
      </c>
      <c r="C647" t="str">
        <f t="shared" si="91"/>
        <v>April</v>
      </c>
      <c r="D647">
        <f t="shared" si="92"/>
        <v>2024</v>
      </c>
      <c r="E647" s="3">
        <v>45536</v>
      </c>
      <c r="F647">
        <f t="shared" si="90"/>
        <v>153</v>
      </c>
      <c r="G647" t="s">
        <v>2023</v>
      </c>
      <c r="H647" t="s">
        <v>264</v>
      </c>
      <c r="I647" t="s">
        <v>24</v>
      </c>
      <c r="J647" t="s">
        <v>38</v>
      </c>
      <c r="K647" t="s">
        <v>145</v>
      </c>
      <c r="L647" t="s">
        <v>146</v>
      </c>
      <c r="M647" t="s">
        <v>41</v>
      </c>
      <c r="N647" t="s">
        <v>66</v>
      </c>
      <c r="O647" t="s">
        <v>2024</v>
      </c>
      <c r="P647" t="s">
        <v>31</v>
      </c>
      <c r="Q647">
        <v>6</v>
      </c>
      <c r="R647">
        <v>2423.61</v>
      </c>
      <c r="S647" s="6">
        <v>0.1</v>
      </c>
      <c r="T647" s="6">
        <f t="shared" si="93"/>
        <v>0.1</v>
      </c>
      <c r="U647">
        <v>13087.49</v>
      </c>
      <c r="V647">
        <f t="shared" si="94"/>
        <v>13087.494000000001</v>
      </c>
      <c r="W647" s="6">
        <f t="shared" si="95"/>
        <v>4.0000000008149073E-3</v>
      </c>
      <c r="X647">
        <v>7608.89</v>
      </c>
      <c r="Y647">
        <v>5133.22</v>
      </c>
      <c r="Z647">
        <f t="shared" si="96"/>
        <v>5478.6040000000003</v>
      </c>
      <c r="AA647" s="6">
        <f t="shared" si="97"/>
        <v>345.38400000000001</v>
      </c>
      <c r="AB647">
        <f t="shared" si="98"/>
        <v>0.41861367806548755</v>
      </c>
      <c r="AC647" t="s">
        <v>32</v>
      </c>
      <c r="AD647" t="s">
        <v>33</v>
      </c>
      <c r="AE647" t="s">
        <v>2828</v>
      </c>
    </row>
    <row r="648" spans="1:32">
      <c r="A648" t="s">
        <v>2025</v>
      </c>
      <c r="B648" s="3">
        <v>45553</v>
      </c>
      <c r="C648" t="str">
        <f t="shared" si="91"/>
        <v>September</v>
      </c>
      <c r="D648">
        <f t="shared" si="92"/>
        <v>2024</v>
      </c>
      <c r="E648" s="3">
        <v>45559</v>
      </c>
      <c r="F648">
        <f t="shared" si="90"/>
        <v>6</v>
      </c>
      <c r="G648" t="s">
        <v>2026</v>
      </c>
      <c r="H648" t="s">
        <v>71</v>
      </c>
      <c r="I648" t="s">
        <v>37</v>
      </c>
      <c r="J648" t="s">
        <v>38</v>
      </c>
      <c r="K648" t="s">
        <v>228</v>
      </c>
      <c r="L648" t="s">
        <v>229</v>
      </c>
      <c r="M648" t="s">
        <v>74</v>
      </c>
      <c r="N648" t="s">
        <v>274</v>
      </c>
      <c r="O648" t="s">
        <v>2027</v>
      </c>
      <c r="P648" t="s">
        <v>50</v>
      </c>
      <c r="Q648">
        <v>3</v>
      </c>
      <c r="R648">
        <v>729.14</v>
      </c>
      <c r="S648" s="6">
        <v>0.25</v>
      </c>
      <c r="T648" s="6">
        <f t="shared" si="93"/>
        <v>0.25</v>
      </c>
      <c r="U648">
        <v>1640.57</v>
      </c>
      <c r="V648">
        <f t="shared" si="94"/>
        <v>1640.5650000000001</v>
      </c>
      <c r="W648" s="6">
        <f t="shared" si="95"/>
        <v>-4.9999999998817657E-3</v>
      </c>
      <c r="X648">
        <v>1136.98</v>
      </c>
      <c r="Y648">
        <v>503.59</v>
      </c>
      <c r="Z648">
        <f t="shared" si="96"/>
        <v>503.58500000000004</v>
      </c>
      <c r="AA648" s="6">
        <f t="shared" si="97"/>
        <v>-4.9999999999386091E-3</v>
      </c>
      <c r="AB648">
        <f t="shared" si="98"/>
        <v>0.30695827352162214</v>
      </c>
      <c r="AC648" t="s">
        <v>32</v>
      </c>
      <c r="AD648" t="s">
        <v>33</v>
      </c>
      <c r="AE648" t="s">
        <v>2828</v>
      </c>
    </row>
    <row r="649" spans="1:32">
      <c r="A649" t="s">
        <v>2028</v>
      </c>
      <c r="B649" s="3">
        <v>45658</v>
      </c>
      <c r="C649" t="str">
        <f t="shared" si="91"/>
        <v>January</v>
      </c>
      <c r="D649">
        <f t="shared" si="92"/>
        <v>2025</v>
      </c>
      <c r="E649" s="3">
        <v>45901</v>
      </c>
      <c r="F649">
        <f t="shared" si="90"/>
        <v>243</v>
      </c>
      <c r="G649" t="s">
        <v>2029</v>
      </c>
      <c r="H649" t="s">
        <v>141</v>
      </c>
      <c r="I649" t="s">
        <v>37</v>
      </c>
      <c r="J649" t="s">
        <v>25</v>
      </c>
      <c r="K649" t="s">
        <v>122</v>
      </c>
      <c r="L649" t="s">
        <v>123</v>
      </c>
      <c r="M649" t="s">
        <v>28</v>
      </c>
      <c r="N649" t="s">
        <v>48</v>
      </c>
      <c r="O649" t="s">
        <v>2030</v>
      </c>
      <c r="P649" t="s">
        <v>50</v>
      </c>
      <c r="Q649">
        <v>8</v>
      </c>
      <c r="R649">
        <v>2123.81</v>
      </c>
      <c r="S649" s="6">
        <v>0.15</v>
      </c>
      <c r="T649" s="6">
        <f t="shared" si="93"/>
        <v>0.15</v>
      </c>
      <c r="U649">
        <v>14441.91</v>
      </c>
      <c r="V649">
        <f t="shared" si="94"/>
        <v>14441.907999999999</v>
      </c>
      <c r="W649" s="6">
        <f t="shared" si="95"/>
        <v>-2.0000000004074536E-3</v>
      </c>
      <c r="X649">
        <v>10872.89</v>
      </c>
      <c r="Y649">
        <v>3569.02</v>
      </c>
      <c r="Z649">
        <f t="shared" si="96"/>
        <v>3569.018</v>
      </c>
      <c r="AA649" s="6">
        <f t="shared" si="97"/>
        <v>-1.9999999999527063E-3</v>
      </c>
      <c r="AB649">
        <f t="shared" si="98"/>
        <v>0.24712925743606731</v>
      </c>
      <c r="AC649" t="s">
        <v>32</v>
      </c>
      <c r="AD649" t="s">
        <v>33</v>
      </c>
      <c r="AE649" t="s">
        <v>2828</v>
      </c>
    </row>
    <row r="650" spans="1:32">
      <c r="A650" t="s">
        <v>2031</v>
      </c>
      <c r="B650" s="3">
        <v>45403</v>
      </c>
      <c r="C650" t="str">
        <f t="shared" si="91"/>
        <v>April</v>
      </c>
      <c r="D650">
        <f t="shared" si="92"/>
        <v>2024</v>
      </c>
      <c r="E650" s="3">
        <v>45406</v>
      </c>
      <c r="F650">
        <f t="shared" si="90"/>
        <v>3</v>
      </c>
      <c r="G650" t="s">
        <v>2032</v>
      </c>
      <c r="H650" t="s">
        <v>79</v>
      </c>
      <c r="I650" t="s">
        <v>37</v>
      </c>
      <c r="J650" t="s">
        <v>54</v>
      </c>
      <c r="K650" t="s">
        <v>84</v>
      </c>
      <c r="L650" t="s">
        <v>85</v>
      </c>
      <c r="M650" t="s">
        <v>28</v>
      </c>
      <c r="N650" t="s">
        <v>48</v>
      </c>
      <c r="O650" t="s">
        <v>2033</v>
      </c>
      <c r="P650" t="s">
        <v>44</v>
      </c>
      <c r="Q650">
        <v>9</v>
      </c>
      <c r="R650">
        <v>703.59</v>
      </c>
      <c r="S650" s="6">
        <v>0.2</v>
      </c>
      <c r="T650" s="6">
        <f t="shared" si="93"/>
        <v>0.2</v>
      </c>
      <c r="U650">
        <v>5065.8500000000004</v>
      </c>
      <c r="V650">
        <f t="shared" si="94"/>
        <v>5065.8480000000009</v>
      </c>
      <c r="W650" s="6">
        <f t="shared" si="95"/>
        <v>-1.9999999994979589E-3</v>
      </c>
      <c r="X650">
        <v>3517.23</v>
      </c>
      <c r="Y650">
        <v>1548.62</v>
      </c>
      <c r="Z650">
        <f t="shared" si="96"/>
        <v>1548.6180000000008</v>
      </c>
      <c r="AA650" s="6">
        <f t="shared" si="97"/>
        <v>-1.9999999990432116E-3</v>
      </c>
      <c r="AB650">
        <f t="shared" si="98"/>
        <v>0.30569768378364304</v>
      </c>
      <c r="AC650" t="s">
        <v>155</v>
      </c>
      <c r="AD650" t="s">
        <v>103</v>
      </c>
      <c r="AE650" t="s">
        <v>2827</v>
      </c>
      <c r="AF650" s="10" t="s">
        <v>2821</v>
      </c>
    </row>
    <row r="651" spans="1:32">
      <c r="A651" t="s">
        <v>2034</v>
      </c>
      <c r="B651" s="3">
        <v>45969</v>
      </c>
      <c r="C651" t="str">
        <f t="shared" si="91"/>
        <v>November</v>
      </c>
      <c r="D651">
        <f t="shared" si="92"/>
        <v>2025</v>
      </c>
      <c r="E651" s="3">
        <v>45888</v>
      </c>
      <c r="F651">
        <f t="shared" si="90"/>
        <v>-81</v>
      </c>
      <c r="G651" t="s">
        <v>2035</v>
      </c>
      <c r="H651" t="s">
        <v>264</v>
      </c>
      <c r="I651" t="s">
        <v>37</v>
      </c>
      <c r="J651" t="s">
        <v>54</v>
      </c>
      <c r="K651" t="s">
        <v>185</v>
      </c>
      <c r="L651" t="s">
        <v>186</v>
      </c>
      <c r="M651" t="s">
        <v>74</v>
      </c>
      <c r="N651" t="s">
        <v>75</v>
      </c>
      <c r="O651" t="s">
        <v>2036</v>
      </c>
      <c r="P651" t="s">
        <v>59</v>
      </c>
      <c r="Q651">
        <v>4</v>
      </c>
      <c r="R651">
        <v>2258.96</v>
      </c>
      <c r="S651" s="6">
        <v>0.25</v>
      </c>
      <c r="T651" s="6">
        <f t="shared" si="93"/>
        <v>0.25</v>
      </c>
      <c r="U651">
        <v>6776.88</v>
      </c>
      <c r="V651">
        <f t="shared" si="94"/>
        <v>6776.88</v>
      </c>
      <c r="W651" s="6">
        <f t="shared" si="95"/>
        <v>0</v>
      </c>
      <c r="X651">
        <v>3836.24</v>
      </c>
      <c r="Y651">
        <v>2940.64</v>
      </c>
      <c r="Z651">
        <f t="shared" si="96"/>
        <v>2940.6400000000003</v>
      </c>
      <c r="AA651" s="6">
        <f t="shared" si="97"/>
        <v>0</v>
      </c>
      <c r="AB651">
        <f t="shared" si="98"/>
        <v>0.43392239496641527</v>
      </c>
      <c r="AC651" t="s">
        <v>32</v>
      </c>
      <c r="AD651" t="s">
        <v>33</v>
      </c>
      <c r="AE651" t="s">
        <v>2826</v>
      </c>
      <c r="AF651" s="10" t="s">
        <v>2790</v>
      </c>
    </row>
    <row r="652" spans="1:32">
      <c r="A652" t="s">
        <v>2037</v>
      </c>
      <c r="B652" s="3">
        <v>45395</v>
      </c>
      <c r="C652" t="str">
        <f t="shared" si="91"/>
        <v>April</v>
      </c>
      <c r="D652">
        <f t="shared" si="92"/>
        <v>2024</v>
      </c>
      <c r="E652" s="3">
        <v>45403</v>
      </c>
      <c r="F652">
        <f t="shared" si="90"/>
        <v>8</v>
      </c>
      <c r="G652" t="s">
        <v>378</v>
      </c>
      <c r="H652" t="s">
        <v>128</v>
      </c>
      <c r="I652" t="s">
        <v>95</v>
      </c>
      <c r="J652" t="s">
        <v>38</v>
      </c>
      <c r="K652" t="s">
        <v>145</v>
      </c>
      <c r="L652" t="s">
        <v>146</v>
      </c>
      <c r="M652" t="s">
        <v>74</v>
      </c>
      <c r="N652" t="s">
        <v>75</v>
      </c>
      <c r="O652" t="s">
        <v>2038</v>
      </c>
      <c r="P652" t="s">
        <v>44</v>
      </c>
      <c r="Q652">
        <v>7</v>
      </c>
      <c r="R652">
        <v>2648.76</v>
      </c>
      <c r="S652" s="6">
        <v>0.15</v>
      </c>
      <c r="T652" s="6">
        <f t="shared" si="93"/>
        <v>0.15</v>
      </c>
      <c r="U652">
        <v>15760.12</v>
      </c>
      <c r="V652">
        <f t="shared" si="94"/>
        <v>15760.121999999999</v>
      </c>
      <c r="W652" s="6">
        <f t="shared" si="95"/>
        <v>1.9999999985884642E-3</v>
      </c>
      <c r="X652">
        <v>9931.5300000000007</v>
      </c>
      <c r="Y652">
        <v>5828.59</v>
      </c>
      <c r="Z652">
        <f t="shared" si="96"/>
        <v>5828.5919999999987</v>
      </c>
      <c r="AA652" s="6">
        <f t="shared" si="97"/>
        <v>1.9999999985884642E-3</v>
      </c>
      <c r="AB652">
        <f t="shared" si="98"/>
        <v>0.36983165485647884</v>
      </c>
      <c r="AC652" t="s">
        <v>155</v>
      </c>
      <c r="AD652" t="s">
        <v>103</v>
      </c>
      <c r="AE652" t="s">
        <v>2827</v>
      </c>
      <c r="AF652" s="10" t="s">
        <v>2821</v>
      </c>
    </row>
    <row r="653" spans="1:32">
      <c r="A653" t="s">
        <v>2039</v>
      </c>
      <c r="B653" s="3">
        <v>45816</v>
      </c>
      <c r="C653" t="str">
        <f t="shared" si="91"/>
        <v>June</v>
      </c>
      <c r="D653">
        <f t="shared" si="92"/>
        <v>2025</v>
      </c>
      <c r="E653" s="3">
        <v>45908</v>
      </c>
      <c r="F653">
        <f t="shared" si="90"/>
        <v>92</v>
      </c>
      <c r="G653" t="s">
        <v>2040</v>
      </c>
      <c r="H653" t="s">
        <v>36</v>
      </c>
      <c r="I653" t="s">
        <v>37</v>
      </c>
      <c r="J653" t="s">
        <v>54</v>
      </c>
      <c r="K653" t="s">
        <v>84</v>
      </c>
      <c r="L653" t="s">
        <v>85</v>
      </c>
      <c r="M653" t="s">
        <v>28</v>
      </c>
      <c r="N653" t="s">
        <v>29</v>
      </c>
      <c r="O653" t="s">
        <v>2041</v>
      </c>
      <c r="P653" t="s">
        <v>31</v>
      </c>
      <c r="Q653">
        <v>3</v>
      </c>
      <c r="R653">
        <v>598.54999999999995</v>
      </c>
      <c r="S653" s="6">
        <v>0</v>
      </c>
      <c r="T653" s="6">
        <f t="shared" si="93"/>
        <v>0</v>
      </c>
      <c r="U653">
        <v>1795.65</v>
      </c>
      <c r="V653">
        <f t="shared" si="94"/>
        <v>1795.6499999999999</v>
      </c>
      <c r="W653" s="6">
        <f t="shared" si="95"/>
        <v>0</v>
      </c>
      <c r="X653">
        <v>996.72</v>
      </c>
      <c r="Y653">
        <v>798.93</v>
      </c>
      <c r="Z653">
        <f t="shared" si="96"/>
        <v>798.92999999999984</v>
      </c>
      <c r="AA653" s="6">
        <f t="shared" si="97"/>
        <v>0</v>
      </c>
      <c r="AB653">
        <f t="shared" si="98"/>
        <v>0.44492523598696843</v>
      </c>
      <c r="AC653" t="s">
        <v>32</v>
      </c>
      <c r="AD653" t="s">
        <v>33</v>
      </c>
      <c r="AE653" t="s">
        <v>2828</v>
      </c>
    </row>
    <row r="654" spans="1:32">
      <c r="A654" t="s">
        <v>2042</v>
      </c>
      <c r="B654" s="3">
        <v>45733</v>
      </c>
      <c r="C654" t="str">
        <f t="shared" si="91"/>
        <v>March</v>
      </c>
      <c r="D654">
        <f t="shared" si="92"/>
        <v>2025</v>
      </c>
      <c r="E654" s="3">
        <v>45737</v>
      </c>
      <c r="F654">
        <f t="shared" si="90"/>
        <v>4</v>
      </c>
      <c r="G654" t="s">
        <v>1686</v>
      </c>
      <c r="H654" t="s">
        <v>132</v>
      </c>
      <c r="I654" t="s">
        <v>24</v>
      </c>
      <c r="J654" t="s">
        <v>25</v>
      </c>
      <c r="K654" t="s">
        <v>136</v>
      </c>
      <c r="L654" t="s">
        <v>137</v>
      </c>
      <c r="M654" t="s">
        <v>28</v>
      </c>
      <c r="N654" t="s">
        <v>153</v>
      </c>
      <c r="O654" t="s">
        <v>2043</v>
      </c>
      <c r="P654" t="s">
        <v>59</v>
      </c>
      <c r="Q654">
        <v>5</v>
      </c>
      <c r="R654">
        <v>4320.59</v>
      </c>
      <c r="S654" s="6">
        <v>0.15</v>
      </c>
      <c r="T654" s="6">
        <f t="shared" si="93"/>
        <v>0.15</v>
      </c>
      <c r="U654">
        <v>18362.509999999998</v>
      </c>
      <c r="V654">
        <f t="shared" si="94"/>
        <v>18362.5075</v>
      </c>
      <c r="W654" s="6">
        <f t="shared" si="95"/>
        <v>-2.4999999986903276E-3</v>
      </c>
      <c r="X654">
        <v>11133.97</v>
      </c>
      <c r="Y654">
        <v>7228.54</v>
      </c>
      <c r="Z654">
        <f t="shared" si="96"/>
        <v>7228.5375000000004</v>
      </c>
      <c r="AA654" s="6">
        <f t="shared" si="97"/>
        <v>-2.4999999995998223E-3</v>
      </c>
      <c r="AB654">
        <f t="shared" si="98"/>
        <v>0.39365742941153326</v>
      </c>
      <c r="AC654" t="s">
        <v>32</v>
      </c>
      <c r="AD654" t="s">
        <v>33</v>
      </c>
      <c r="AE654" t="s">
        <v>2828</v>
      </c>
    </row>
    <row r="655" spans="1:32">
      <c r="A655" t="s">
        <v>2044</v>
      </c>
      <c r="B655" s="3">
        <v>45751</v>
      </c>
      <c r="C655" t="str">
        <f t="shared" si="91"/>
        <v>April</v>
      </c>
      <c r="D655">
        <f t="shared" si="92"/>
        <v>2025</v>
      </c>
      <c r="E655" s="3">
        <v>45754</v>
      </c>
      <c r="F655">
        <f t="shared" si="90"/>
        <v>3</v>
      </c>
      <c r="G655" t="s">
        <v>2045</v>
      </c>
      <c r="H655" t="s">
        <v>114</v>
      </c>
      <c r="I655" t="s">
        <v>37</v>
      </c>
      <c r="J655" t="s">
        <v>54</v>
      </c>
      <c r="K655" t="s">
        <v>247</v>
      </c>
      <c r="L655" t="s">
        <v>248</v>
      </c>
      <c r="M655" t="s">
        <v>74</v>
      </c>
      <c r="N655" t="s">
        <v>80</v>
      </c>
      <c r="O655" t="s">
        <v>2046</v>
      </c>
      <c r="P655" t="s">
        <v>31</v>
      </c>
      <c r="Q655">
        <v>7</v>
      </c>
      <c r="R655">
        <v>4457.93</v>
      </c>
      <c r="S655" s="6">
        <v>0.15</v>
      </c>
      <c r="T655" s="6">
        <f t="shared" si="93"/>
        <v>0.15</v>
      </c>
      <c r="U655">
        <v>26524.68</v>
      </c>
      <c r="V655">
        <f t="shared" si="94"/>
        <v>26524.683500000003</v>
      </c>
      <c r="W655" s="6">
        <f t="shared" si="95"/>
        <v>3.5000000025320332E-3</v>
      </c>
      <c r="X655">
        <v>20574.3</v>
      </c>
      <c r="Y655">
        <v>5950.38</v>
      </c>
      <c r="Z655">
        <f t="shared" si="96"/>
        <v>5950.3835000000036</v>
      </c>
      <c r="AA655" s="6">
        <f t="shared" si="97"/>
        <v>3.500000003441528E-3</v>
      </c>
      <c r="AB655">
        <f t="shared" si="98"/>
        <v>0.22433381721595294</v>
      </c>
      <c r="AC655" t="s">
        <v>32</v>
      </c>
      <c r="AD655" t="s">
        <v>33</v>
      </c>
      <c r="AE655" t="s">
        <v>2828</v>
      </c>
    </row>
    <row r="656" spans="1:32">
      <c r="A656" t="s">
        <v>2047</v>
      </c>
      <c r="B656" s="3">
        <v>45942</v>
      </c>
      <c r="C656" t="str">
        <f t="shared" si="91"/>
        <v>October</v>
      </c>
      <c r="D656">
        <f t="shared" si="92"/>
        <v>2025</v>
      </c>
      <c r="E656" s="3">
        <v>45946</v>
      </c>
      <c r="F656">
        <f t="shared" si="90"/>
        <v>4</v>
      </c>
      <c r="G656" t="s">
        <v>925</v>
      </c>
      <c r="H656" t="s">
        <v>162</v>
      </c>
      <c r="I656" t="s">
        <v>90</v>
      </c>
      <c r="J656" t="s">
        <v>38</v>
      </c>
      <c r="K656" t="s">
        <v>145</v>
      </c>
      <c r="L656" t="s">
        <v>146</v>
      </c>
      <c r="M656" t="s">
        <v>74</v>
      </c>
      <c r="N656" t="s">
        <v>274</v>
      </c>
      <c r="O656" t="s">
        <v>2048</v>
      </c>
      <c r="P656" t="s">
        <v>44</v>
      </c>
      <c r="Q656">
        <v>1</v>
      </c>
      <c r="R656">
        <v>2570.06</v>
      </c>
      <c r="S656" s="6">
        <v>0.2</v>
      </c>
      <c r="T656" s="6">
        <f t="shared" si="93"/>
        <v>0.2</v>
      </c>
      <c r="U656">
        <v>2056.0500000000002</v>
      </c>
      <c r="V656">
        <f t="shared" si="94"/>
        <v>2056.0480000000002</v>
      </c>
      <c r="W656" s="6">
        <f t="shared" si="95"/>
        <v>-1.9999999999527063E-3</v>
      </c>
      <c r="X656">
        <v>1662.39</v>
      </c>
      <c r="Y656">
        <v>393.66</v>
      </c>
      <c r="Z656">
        <f t="shared" si="96"/>
        <v>393.65800000000013</v>
      </c>
      <c r="AA656" s="6">
        <f t="shared" si="97"/>
        <v>-1.9999999998958629E-3</v>
      </c>
      <c r="AB656">
        <f t="shared" si="98"/>
        <v>0.19146342886936496</v>
      </c>
      <c r="AC656" t="s">
        <v>32</v>
      </c>
      <c r="AD656" t="s">
        <v>33</v>
      </c>
      <c r="AE656" t="s">
        <v>2828</v>
      </c>
    </row>
    <row r="657" spans="1:32">
      <c r="A657" t="s">
        <v>2049</v>
      </c>
      <c r="B657" s="3">
        <v>45895</v>
      </c>
      <c r="C657" t="str">
        <f t="shared" si="91"/>
        <v>August</v>
      </c>
      <c r="D657">
        <f t="shared" si="92"/>
        <v>2025</v>
      </c>
      <c r="E657" s="3">
        <v>45895</v>
      </c>
      <c r="F657">
        <f t="shared" si="90"/>
        <v>0</v>
      </c>
      <c r="G657" t="s">
        <v>2050</v>
      </c>
      <c r="H657" t="s">
        <v>79</v>
      </c>
      <c r="I657" t="s">
        <v>95</v>
      </c>
      <c r="J657" t="s">
        <v>38</v>
      </c>
      <c r="K657" t="s">
        <v>99</v>
      </c>
      <c r="L657" t="s">
        <v>100</v>
      </c>
      <c r="M657" t="s">
        <v>41</v>
      </c>
      <c r="N657" t="s">
        <v>57</v>
      </c>
      <c r="O657" t="s">
        <v>2051</v>
      </c>
      <c r="P657" t="s">
        <v>59</v>
      </c>
      <c r="Q657">
        <v>4</v>
      </c>
      <c r="R657">
        <v>2151.8200000000002</v>
      </c>
      <c r="S657" s="6">
        <v>0</v>
      </c>
      <c r="T657" s="6">
        <f t="shared" si="93"/>
        <v>0</v>
      </c>
      <c r="U657">
        <v>8607.2800000000007</v>
      </c>
      <c r="V657">
        <f t="shared" si="94"/>
        <v>8607.2800000000007</v>
      </c>
      <c r="W657" s="6">
        <f t="shared" si="95"/>
        <v>0</v>
      </c>
      <c r="X657">
        <v>5124.01</v>
      </c>
      <c r="Y657">
        <v>3483.27</v>
      </c>
      <c r="Z657">
        <f t="shared" si="96"/>
        <v>3483.2700000000004</v>
      </c>
      <c r="AA657" s="6">
        <f t="shared" si="97"/>
        <v>0</v>
      </c>
      <c r="AB657">
        <f t="shared" si="98"/>
        <v>0.40468882155570635</v>
      </c>
      <c r="AC657" t="s">
        <v>32</v>
      </c>
      <c r="AD657" t="s">
        <v>33</v>
      </c>
      <c r="AE657" t="s">
        <v>2828</v>
      </c>
    </row>
    <row r="658" spans="1:32">
      <c r="A658" t="s">
        <v>2052</v>
      </c>
      <c r="B658" s="3">
        <v>45478</v>
      </c>
      <c r="C658" t="str">
        <f t="shared" si="91"/>
        <v>July</v>
      </c>
      <c r="D658">
        <f t="shared" si="92"/>
        <v>2024</v>
      </c>
      <c r="E658" s="3">
        <v>45426</v>
      </c>
      <c r="F658">
        <f t="shared" si="90"/>
        <v>-52</v>
      </c>
      <c r="G658" t="s">
        <v>2053</v>
      </c>
      <c r="H658" t="s">
        <v>79</v>
      </c>
      <c r="I658" t="s">
        <v>37</v>
      </c>
      <c r="J658" t="s">
        <v>25</v>
      </c>
      <c r="K658" t="s">
        <v>236</v>
      </c>
      <c r="L658" t="s">
        <v>237</v>
      </c>
      <c r="M658" t="s">
        <v>74</v>
      </c>
      <c r="N658" t="s">
        <v>274</v>
      </c>
      <c r="O658" t="s">
        <v>2054</v>
      </c>
      <c r="P658" t="s">
        <v>44</v>
      </c>
      <c r="Q658">
        <v>4</v>
      </c>
      <c r="R658">
        <v>2751.1</v>
      </c>
      <c r="S658" s="6">
        <v>-0.05</v>
      </c>
      <c r="T658" s="6">
        <f t="shared" si="93"/>
        <v>0.05</v>
      </c>
      <c r="U658">
        <v>9903.9599999999991</v>
      </c>
      <c r="V658">
        <f t="shared" si="94"/>
        <v>10454.179999999998</v>
      </c>
      <c r="W658" s="6">
        <f t="shared" si="95"/>
        <v>550.21999999999935</v>
      </c>
      <c r="X658">
        <v>7696.28</v>
      </c>
      <c r="Y658">
        <v>2207.6799999999998</v>
      </c>
      <c r="Z658">
        <f t="shared" si="96"/>
        <v>2757.8999999999987</v>
      </c>
      <c r="AA658" s="6">
        <f t="shared" si="97"/>
        <v>550.21999999999889</v>
      </c>
      <c r="AB658">
        <f t="shared" si="98"/>
        <v>0.26380835225718319</v>
      </c>
      <c r="AC658" t="s">
        <v>32</v>
      </c>
      <c r="AD658" t="s">
        <v>33</v>
      </c>
      <c r="AE658" t="s">
        <v>2826</v>
      </c>
      <c r="AF658" s="10" t="s">
        <v>2792</v>
      </c>
    </row>
    <row r="659" spans="1:32">
      <c r="A659" t="s">
        <v>2055</v>
      </c>
      <c r="B659" s="3">
        <v>45876</v>
      </c>
      <c r="C659" t="str">
        <f t="shared" si="91"/>
        <v>August</v>
      </c>
      <c r="D659">
        <f t="shared" si="92"/>
        <v>2025</v>
      </c>
      <c r="E659" s="3">
        <v>45938</v>
      </c>
      <c r="F659">
        <f t="shared" si="90"/>
        <v>62</v>
      </c>
      <c r="G659" t="s">
        <v>2056</v>
      </c>
      <c r="H659" t="s">
        <v>89</v>
      </c>
      <c r="I659" t="s">
        <v>95</v>
      </c>
      <c r="J659" t="s">
        <v>38</v>
      </c>
      <c r="K659" t="s">
        <v>145</v>
      </c>
      <c r="L659" t="s">
        <v>146</v>
      </c>
      <c r="M659" t="s">
        <v>28</v>
      </c>
      <c r="N659" t="s">
        <v>124</v>
      </c>
      <c r="O659" t="s">
        <v>2057</v>
      </c>
      <c r="P659" t="s">
        <v>31</v>
      </c>
      <c r="Q659">
        <v>1</v>
      </c>
      <c r="R659">
        <v>2541.25</v>
      </c>
      <c r="S659" s="6">
        <v>0.2</v>
      </c>
      <c r="T659" s="6">
        <f t="shared" si="93"/>
        <v>0.2</v>
      </c>
      <c r="U659">
        <v>2033</v>
      </c>
      <c r="V659">
        <f t="shared" si="94"/>
        <v>2033</v>
      </c>
      <c r="W659" s="6">
        <f t="shared" si="95"/>
        <v>0</v>
      </c>
      <c r="X659">
        <v>1291.4100000000001</v>
      </c>
      <c r="Y659">
        <v>741.59</v>
      </c>
      <c r="Z659">
        <f t="shared" si="96"/>
        <v>741.58999999999992</v>
      </c>
      <c r="AA659" s="6">
        <f t="shared" si="97"/>
        <v>0</v>
      </c>
      <c r="AB659">
        <f t="shared" si="98"/>
        <v>0.36477619281849477</v>
      </c>
      <c r="AC659" t="s">
        <v>32</v>
      </c>
      <c r="AD659" t="s">
        <v>33</v>
      </c>
      <c r="AE659" t="s">
        <v>2828</v>
      </c>
    </row>
    <row r="660" spans="1:32">
      <c r="A660" t="s">
        <v>2058</v>
      </c>
      <c r="B660" s="3">
        <v>45906</v>
      </c>
      <c r="C660" t="str">
        <f t="shared" si="91"/>
        <v>September</v>
      </c>
      <c r="D660">
        <f t="shared" si="92"/>
        <v>2025</v>
      </c>
      <c r="E660" s="3">
        <v>45820</v>
      </c>
      <c r="F660">
        <f t="shared" si="90"/>
        <v>-86</v>
      </c>
      <c r="G660" t="s">
        <v>2059</v>
      </c>
      <c r="H660" t="s">
        <v>132</v>
      </c>
      <c r="I660" t="s">
        <v>24</v>
      </c>
      <c r="J660" t="s">
        <v>2781</v>
      </c>
      <c r="K660" t="s">
        <v>145</v>
      </c>
      <c r="L660" t="s">
        <v>146</v>
      </c>
      <c r="M660" t="s">
        <v>28</v>
      </c>
      <c r="N660" t="s">
        <v>48</v>
      </c>
      <c r="O660" t="s">
        <v>2060</v>
      </c>
      <c r="P660" t="s">
        <v>50</v>
      </c>
      <c r="Q660">
        <v>7</v>
      </c>
      <c r="R660">
        <v>2852.42</v>
      </c>
      <c r="S660" s="6">
        <v>0</v>
      </c>
      <c r="T660" s="6">
        <f t="shared" si="93"/>
        <v>0</v>
      </c>
      <c r="U660">
        <v>19966.939999999999</v>
      </c>
      <c r="V660">
        <f t="shared" si="94"/>
        <v>19966.940000000002</v>
      </c>
      <c r="W660" s="6">
        <f t="shared" si="95"/>
        <v>0</v>
      </c>
      <c r="X660">
        <v>12690.83</v>
      </c>
      <c r="Y660">
        <v>7276.11</v>
      </c>
      <c r="Z660">
        <f t="shared" si="96"/>
        <v>7276.1100000000024</v>
      </c>
      <c r="AA660" s="6">
        <f t="shared" si="97"/>
        <v>0</v>
      </c>
      <c r="AB660">
        <f t="shared" si="98"/>
        <v>0.36440786620283339</v>
      </c>
      <c r="AC660" t="s">
        <v>102</v>
      </c>
      <c r="AD660" t="s">
        <v>68</v>
      </c>
      <c r="AE660" t="s">
        <v>2826</v>
      </c>
      <c r="AF660" s="10" t="s">
        <v>2813</v>
      </c>
    </row>
    <row r="661" spans="1:32">
      <c r="A661" t="s">
        <v>2061</v>
      </c>
      <c r="B661" s="3">
        <v>45678</v>
      </c>
      <c r="C661" t="str">
        <f t="shared" si="91"/>
        <v>January</v>
      </c>
      <c r="D661">
        <f t="shared" si="92"/>
        <v>2025</v>
      </c>
      <c r="E661" s="3">
        <v>45679</v>
      </c>
      <c r="F661">
        <f t="shared" si="90"/>
        <v>1</v>
      </c>
      <c r="G661" t="s">
        <v>2062</v>
      </c>
      <c r="H661" t="s">
        <v>162</v>
      </c>
      <c r="I661" t="s">
        <v>90</v>
      </c>
      <c r="J661" t="s">
        <v>54</v>
      </c>
      <c r="K661" t="s">
        <v>175</v>
      </c>
      <c r="L661" t="s">
        <v>176</v>
      </c>
      <c r="M661" t="s">
        <v>74</v>
      </c>
      <c r="N661" t="s">
        <v>171</v>
      </c>
      <c r="O661" t="s">
        <v>2063</v>
      </c>
      <c r="P661" t="s">
        <v>31</v>
      </c>
      <c r="Q661">
        <v>2</v>
      </c>
      <c r="R661">
        <v>444.31</v>
      </c>
      <c r="S661" s="6">
        <v>0.2</v>
      </c>
      <c r="T661" s="6">
        <f t="shared" si="93"/>
        <v>0.2</v>
      </c>
      <c r="U661">
        <v>710.9</v>
      </c>
      <c r="V661">
        <f t="shared" si="94"/>
        <v>710.89600000000007</v>
      </c>
      <c r="W661" s="6">
        <f t="shared" si="95"/>
        <v>-3.9999999999054126E-3</v>
      </c>
      <c r="X661">
        <v>513.88</v>
      </c>
      <c r="Y661">
        <v>197.02</v>
      </c>
      <c r="Z661">
        <f t="shared" si="96"/>
        <v>197.01600000000008</v>
      </c>
      <c r="AA661" s="6">
        <f t="shared" si="97"/>
        <v>-3.9999999999338343E-3</v>
      </c>
      <c r="AB661">
        <f t="shared" si="98"/>
        <v>0.27713758411919615</v>
      </c>
      <c r="AC661" t="s">
        <v>102</v>
      </c>
      <c r="AD661" t="s">
        <v>68</v>
      </c>
      <c r="AE661" t="s">
        <v>2827</v>
      </c>
      <c r="AF661" t="s">
        <v>2808</v>
      </c>
    </row>
    <row r="662" spans="1:32">
      <c r="A662" t="s">
        <v>2064</v>
      </c>
      <c r="B662" s="3">
        <v>45853</v>
      </c>
      <c r="C662" t="str">
        <f t="shared" si="91"/>
        <v>July</v>
      </c>
      <c r="D662">
        <f t="shared" si="92"/>
        <v>2025</v>
      </c>
      <c r="E662" s="3">
        <v>45853</v>
      </c>
      <c r="F662">
        <f t="shared" si="90"/>
        <v>0</v>
      </c>
      <c r="G662" t="s">
        <v>2065</v>
      </c>
      <c r="H662" t="s">
        <v>53</v>
      </c>
      <c r="I662" t="s">
        <v>37</v>
      </c>
      <c r="J662" t="s">
        <v>38</v>
      </c>
      <c r="K662" t="s">
        <v>228</v>
      </c>
      <c r="L662" t="s">
        <v>229</v>
      </c>
      <c r="M662" t="s">
        <v>74</v>
      </c>
      <c r="N662" t="s">
        <v>171</v>
      </c>
      <c r="O662" t="s">
        <v>2066</v>
      </c>
      <c r="P662" t="s">
        <v>44</v>
      </c>
      <c r="Q662">
        <v>4</v>
      </c>
      <c r="R662">
        <v>4442.91</v>
      </c>
      <c r="S662" s="6">
        <v>0.1</v>
      </c>
      <c r="T662" s="6">
        <f t="shared" si="93"/>
        <v>0.1</v>
      </c>
      <c r="U662">
        <v>15994.48</v>
      </c>
      <c r="V662">
        <f t="shared" si="94"/>
        <v>15994.476000000001</v>
      </c>
      <c r="W662" s="6">
        <f t="shared" si="95"/>
        <v>-3.9999999989959178E-3</v>
      </c>
      <c r="X662">
        <v>9224.2800000000007</v>
      </c>
      <c r="Y662">
        <v>6770.2</v>
      </c>
      <c r="Z662">
        <f t="shared" si="96"/>
        <v>6770.1959999999999</v>
      </c>
      <c r="AA662" s="6">
        <f t="shared" si="97"/>
        <v>-3.9999999999054126E-3</v>
      </c>
      <c r="AB662">
        <f t="shared" si="98"/>
        <v>0.42328338858991066</v>
      </c>
      <c r="AC662" t="s">
        <v>32</v>
      </c>
      <c r="AD662" t="s">
        <v>33</v>
      </c>
      <c r="AE662" t="s">
        <v>2828</v>
      </c>
    </row>
    <row r="663" spans="1:32">
      <c r="A663" t="s">
        <v>2067</v>
      </c>
      <c r="B663" s="3">
        <v>45429</v>
      </c>
      <c r="C663" t="str">
        <f t="shared" si="91"/>
        <v>May</v>
      </c>
      <c r="D663">
        <f t="shared" si="92"/>
        <v>2024</v>
      </c>
      <c r="E663" s="3">
        <v>45434</v>
      </c>
      <c r="F663">
        <f t="shared" si="90"/>
        <v>5</v>
      </c>
      <c r="G663" t="s">
        <v>2068</v>
      </c>
      <c r="H663" t="s">
        <v>132</v>
      </c>
      <c r="I663" t="s">
        <v>24</v>
      </c>
      <c r="J663" t="s">
        <v>54</v>
      </c>
      <c r="K663" t="s">
        <v>84</v>
      </c>
      <c r="L663" t="s">
        <v>85</v>
      </c>
      <c r="M663" t="s">
        <v>74</v>
      </c>
      <c r="N663" t="s">
        <v>274</v>
      </c>
      <c r="O663" t="s">
        <v>2069</v>
      </c>
      <c r="P663" t="s">
        <v>31</v>
      </c>
      <c r="Q663">
        <v>7</v>
      </c>
      <c r="R663">
        <v>232.5</v>
      </c>
      <c r="S663" s="6">
        <v>0</v>
      </c>
      <c r="T663" s="6">
        <f t="shared" si="93"/>
        <v>0</v>
      </c>
      <c r="U663">
        <v>1627.5</v>
      </c>
      <c r="V663">
        <f t="shared" si="94"/>
        <v>1627.5</v>
      </c>
      <c r="W663" s="6">
        <f t="shared" si="95"/>
        <v>0</v>
      </c>
      <c r="X663">
        <v>939.9</v>
      </c>
      <c r="Y663">
        <v>687.6</v>
      </c>
      <c r="Z663">
        <f t="shared" si="96"/>
        <v>687.6</v>
      </c>
      <c r="AA663" s="6">
        <f t="shared" si="97"/>
        <v>0</v>
      </c>
      <c r="AB663">
        <f t="shared" si="98"/>
        <v>0.4224884792626728</v>
      </c>
      <c r="AC663" t="s">
        <v>32</v>
      </c>
      <c r="AD663" t="s">
        <v>33</v>
      </c>
      <c r="AE663" t="s">
        <v>2828</v>
      </c>
    </row>
    <row r="664" spans="1:32">
      <c r="A664" t="s">
        <v>2070</v>
      </c>
      <c r="B664" s="3">
        <v>45305</v>
      </c>
      <c r="C664" t="str">
        <f t="shared" si="91"/>
        <v>January</v>
      </c>
      <c r="D664">
        <f t="shared" si="92"/>
        <v>2024</v>
      </c>
      <c r="E664" s="3">
        <v>45309</v>
      </c>
      <c r="F664">
        <f t="shared" si="90"/>
        <v>4</v>
      </c>
      <c r="G664" t="s">
        <v>2071</v>
      </c>
      <c r="H664" t="s">
        <v>36</v>
      </c>
      <c r="I664" t="s">
        <v>95</v>
      </c>
      <c r="J664" t="s">
        <v>63</v>
      </c>
      <c r="K664" t="s">
        <v>26</v>
      </c>
      <c r="L664" t="s">
        <v>109</v>
      </c>
      <c r="M664" t="s">
        <v>74</v>
      </c>
      <c r="N664" t="s">
        <v>274</v>
      </c>
      <c r="O664" t="s">
        <v>2072</v>
      </c>
      <c r="P664" t="s">
        <v>44</v>
      </c>
      <c r="Q664">
        <v>6</v>
      </c>
      <c r="R664">
        <v>1784.8</v>
      </c>
      <c r="S664" s="6">
        <v>0.1</v>
      </c>
      <c r="T664" s="6">
        <f t="shared" si="93"/>
        <v>0.1</v>
      </c>
      <c r="U664">
        <v>9637.92</v>
      </c>
      <c r="V664">
        <f t="shared" si="94"/>
        <v>9637.92</v>
      </c>
      <c r="W664" s="6">
        <f t="shared" si="95"/>
        <v>0</v>
      </c>
      <c r="X664">
        <v>7329.29</v>
      </c>
      <c r="Y664">
        <v>2308.63</v>
      </c>
      <c r="Z664">
        <f t="shared" si="96"/>
        <v>2308.63</v>
      </c>
      <c r="AA664" s="6">
        <f t="shared" si="97"/>
        <v>0</v>
      </c>
      <c r="AB664">
        <f t="shared" si="98"/>
        <v>0.2395361239769577</v>
      </c>
      <c r="AC664" t="s">
        <v>32</v>
      </c>
      <c r="AD664" t="s">
        <v>33</v>
      </c>
      <c r="AE664" t="s">
        <v>2828</v>
      </c>
    </row>
    <row r="665" spans="1:32">
      <c r="A665" t="s">
        <v>2073</v>
      </c>
      <c r="B665" s="3">
        <v>45414</v>
      </c>
      <c r="C665" t="str">
        <f t="shared" si="91"/>
        <v>May</v>
      </c>
      <c r="D665">
        <f t="shared" si="92"/>
        <v>2024</v>
      </c>
      <c r="E665" s="3">
        <v>45509</v>
      </c>
      <c r="F665">
        <f t="shared" si="90"/>
        <v>95</v>
      </c>
      <c r="G665" t="s">
        <v>2074</v>
      </c>
      <c r="H665" t="s">
        <v>118</v>
      </c>
      <c r="I665" t="s">
        <v>95</v>
      </c>
      <c r="J665" t="s">
        <v>38</v>
      </c>
      <c r="K665" t="s">
        <v>228</v>
      </c>
      <c r="L665" t="s">
        <v>229</v>
      </c>
      <c r="M665" t="s">
        <v>74</v>
      </c>
      <c r="N665" t="s">
        <v>80</v>
      </c>
      <c r="O665" t="s">
        <v>2075</v>
      </c>
      <c r="P665" t="s">
        <v>31</v>
      </c>
      <c r="Q665">
        <v>2</v>
      </c>
      <c r="R665">
        <v>3185.01</v>
      </c>
      <c r="S665" s="6">
        <v>-0.24</v>
      </c>
      <c r="T665" s="6">
        <f t="shared" si="93"/>
        <v>0.24</v>
      </c>
      <c r="U665">
        <v>4777.5200000000004</v>
      </c>
      <c r="V665">
        <f t="shared" si="94"/>
        <v>4841.2152000000006</v>
      </c>
      <c r="W665" s="6">
        <f t="shared" si="95"/>
        <v>63.695200000000114</v>
      </c>
      <c r="X665">
        <v>3152.98</v>
      </c>
      <c r="Y665">
        <v>1624.54</v>
      </c>
      <c r="Z665">
        <f t="shared" si="96"/>
        <v>1688.2352000000005</v>
      </c>
      <c r="AA665" s="6">
        <f t="shared" si="97"/>
        <v>63.695200000000568</v>
      </c>
      <c r="AB665">
        <f t="shared" si="98"/>
        <v>0.34872137061785652</v>
      </c>
      <c r="AC665" t="s">
        <v>32</v>
      </c>
      <c r="AD665" t="s">
        <v>33</v>
      </c>
      <c r="AE665" t="s">
        <v>2826</v>
      </c>
      <c r="AF665" s="10" t="s">
        <v>2791</v>
      </c>
    </row>
    <row r="666" spans="1:32">
      <c r="A666" t="s">
        <v>2076</v>
      </c>
      <c r="B666" s="3">
        <v>45485</v>
      </c>
      <c r="C666" t="str">
        <f t="shared" si="91"/>
        <v>July</v>
      </c>
      <c r="D666">
        <f t="shared" si="92"/>
        <v>2024</v>
      </c>
      <c r="E666" s="3">
        <v>45577</v>
      </c>
      <c r="F666">
        <f t="shared" si="90"/>
        <v>92</v>
      </c>
      <c r="G666" t="s">
        <v>2077</v>
      </c>
      <c r="H666" t="s">
        <v>36</v>
      </c>
      <c r="I666" t="s">
        <v>95</v>
      </c>
      <c r="J666" t="s">
        <v>54</v>
      </c>
      <c r="K666" t="s">
        <v>55</v>
      </c>
      <c r="L666" t="s">
        <v>56</v>
      </c>
      <c r="M666" t="s">
        <v>74</v>
      </c>
      <c r="N666" t="s">
        <v>75</v>
      </c>
      <c r="O666" t="s">
        <v>2078</v>
      </c>
      <c r="P666" t="s">
        <v>59</v>
      </c>
      <c r="Q666">
        <v>1</v>
      </c>
      <c r="R666">
        <v>1908.83</v>
      </c>
      <c r="S666" s="6">
        <v>0.2</v>
      </c>
      <c r="T666" s="6">
        <f t="shared" si="93"/>
        <v>0.2</v>
      </c>
      <c r="U666">
        <v>1527.06</v>
      </c>
      <c r="V666">
        <f t="shared" si="94"/>
        <v>1527.0640000000001</v>
      </c>
      <c r="W666" s="6">
        <f t="shared" si="95"/>
        <v>4.0000000001327862E-3</v>
      </c>
      <c r="X666">
        <v>1055.8900000000001</v>
      </c>
      <c r="Y666">
        <v>471.17</v>
      </c>
      <c r="Z666">
        <f t="shared" si="96"/>
        <v>471.17399999999998</v>
      </c>
      <c r="AA666" s="6">
        <f t="shared" si="97"/>
        <v>3.999999999962256E-3</v>
      </c>
      <c r="AB666">
        <f t="shared" si="98"/>
        <v>0.30854895407134209</v>
      </c>
      <c r="AC666" t="s">
        <v>32</v>
      </c>
      <c r="AD666" t="s">
        <v>33</v>
      </c>
      <c r="AE666" t="s">
        <v>2828</v>
      </c>
    </row>
    <row r="667" spans="1:32">
      <c r="A667" t="s">
        <v>2079</v>
      </c>
      <c r="B667" s="3">
        <v>45670</v>
      </c>
      <c r="C667" t="str">
        <f t="shared" si="91"/>
        <v>January</v>
      </c>
      <c r="D667">
        <f t="shared" si="92"/>
        <v>2025</v>
      </c>
      <c r="E667" s="3">
        <v>45670</v>
      </c>
      <c r="F667">
        <f t="shared" si="90"/>
        <v>0</v>
      </c>
      <c r="G667" t="s">
        <v>2080</v>
      </c>
      <c r="H667" t="s">
        <v>118</v>
      </c>
      <c r="I667" t="s">
        <v>95</v>
      </c>
      <c r="J667" t="s">
        <v>63</v>
      </c>
      <c r="K667" t="s">
        <v>180</v>
      </c>
      <c r="L667" t="s">
        <v>181</v>
      </c>
      <c r="M667" t="s">
        <v>28</v>
      </c>
      <c r="N667" t="s">
        <v>48</v>
      </c>
      <c r="O667" t="s">
        <v>2081</v>
      </c>
      <c r="P667" t="s">
        <v>59</v>
      </c>
      <c r="Q667">
        <v>3</v>
      </c>
      <c r="R667">
        <v>2110.52</v>
      </c>
      <c r="S667" s="6">
        <v>0.1</v>
      </c>
      <c r="T667" s="6">
        <f t="shared" si="93"/>
        <v>0.1</v>
      </c>
      <c r="U667">
        <v>5698.4</v>
      </c>
      <c r="V667">
        <f t="shared" si="94"/>
        <v>5698.4039999999995</v>
      </c>
      <c r="W667" s="6">
        <f t="shared" si="95"/>
        <v>3.9999999999054126E-3</v>
      </c>
      <c r="X667">
        <v>3640.89</v>
      </c>
      <c r="Y667">
        <v>2057.5100000000002</v>
      </c>
      <c r="Z667">
        <f t="shared" si="96"/>
        <v>2057.5139999999997</v>
      </c>
      <c r="AA667" s="6">
        <f t="shared" si="97"/>
        <v>3.9999999994506652E-3</v>
      </c>
      <c r="AB667">
        <f t="shared" si="98"/>
        <v>0.36106846759197836</v>
      </c>
      <c r="AC667" t="s">
        <v>155</v>
      </c>
      <c r="AD667" t="s">
        <v>68</v>
      </c>
      <c r="AE667" t="s">
        <v>2827</v>
      </c>
      <c r="AF667" s="10" t="s">
        <v>2796</v>
      </c>
    </row>
    <row r="668" spans="1:32">
      <c r="A668" t="s">
        <v>2082</v>
      </c>
      <c r="B668" s="3">
        <v>45464</v>
      </c>
      <c r="C668" t="str">
        <f t="shared" si="91"/>
        <v>June</v>
      </c>
      <c r="D668">
        <f t="shared" si="92"/>
        <v>2024</v>
      </c>
      <c r="E668" s="3">
        <v>45469</v>
      </c>
      <c r="F668">
        <f t="shared" si="90"/>
        <v>5</v>
      </c>
      <c r="G668" t="s">
        <v>2083</v>
      </c>
      <c r="H668" t="s">
        <v>141</v>
      </c>
      <c r="I668" t="s">
        <v>37</v>
      </c>
      <c r="J668" t="s">
        <v>25</v>
      </c>
      <c r="K668" t="s">
        <v>122</v>
      </c>
      <c r="L668" t="s">
        <v>123</v>
      </c>
      <c r="M668" t="s">
        <v>74</v>
      </c>
      <c r="N668" t="s">
        <v>80</v>
      </c>
      <c r="O668" t="s">
        <v>2084</v>
      </c>
      <c r="P668" t="s">
        <v>44</v>
      </c>
      <c r="Q668">
        <v>1</v>
      </c>
      <c r="R668">
        <v>279.83</v>
      </c>
      <c r="S668" s="6">
        <v>0.05</v>
      </c>
      <c r="T668" s="6">
        <f t="shared" si="93"/>
        <v>0.05</v>
      </c>
      <c r="U668">
        <v>265.83999999999997</v>
      </c>
      <c r="V668">
        <f t="shared" si="94"/>
        <v>265.83849999999995</v>
      </c>
      <c r="W668" s="6">
        <f t="shared" si="95"/>
        <v>-1.5000000000213731E-3</v>
      </c>
      <c r="X668">
        <v>223.49</v>
      </c>
      <c r="Y668">
        <v>42.35</v>
      </c>
      <c r="Z668">
        <f t="shared" si="96"/>
        <v>42.348499999999945</v>
      </c>
      <c r="AA668" s="6">
        <f t="shared" si="97"/>
        <v>-1.5000000000569003E-3</v>
      </c>
      <c r="AB668">
        <f t="shared" si="98"/>
        <v>0.15930160605028976</v>
      </c>
      <c r="AC668" t="s">
        <v>32</v>
      </c>
      <c r="AD668" t="s">
        <v>33</v>
      </c>
      <c r="AE668" t="s">
        <v>2828</v>
      </c>
    </row>
    <row r="669" spans="1:32">
      <c r="A669" t="s">
        <v>2085</v>
      </c>
      <c r="B669" s="3">
        <v>45797</v>
      </c>
      <c r="C669" t="str">
        <f t="shared" si="91"/>
        <v>May</v>
      </c>
      <c r="D669">
        <f t="shared" si="92"/>
        <v>2025</v>
      </c>
      <c r="E669" s="3">
        <v>45804</v>
      </c>
      <c r="F669">
        <f t="shared" si="90"/>
        <v>7</v>
      </c>
      <c r="G669" t="s">
        <v>2086</v>
      </c>
      <c r="H669" t="s">
        <v>162</v>
      </c>
      <c r="I669" t="s">
        <v>37</v>
      </c>
      <c r="J669" t="s">
        <v>38</v>
      </c>
      <c r="K669" t="s">
        <v>145</v>
      </c>
      <c r="L669" t="s">
        <v>146</v>
      </c>
      <c r="M669" t="s">
        <v>74</v>
      </c>
      <c r="N669" t="s">
        <v>274</v>
      </c>
      <c r="O669" t="s">
        <v>2087</v>
      </c>
      <c r="P669" t="s">
        <v>59</v>
      </c>
      <c r="Q669">
        <v>1</v>
      </c>
      <c r="R669">
        <v>3959.14</v>
      </c>
      <c r="S669" s="6">
        <v>0</v>
      </c>
      <c r="T669" s="6">
        <f t="shared" si="93"/>
        <v>0</v>
      </c>
      <c r="U669">
        <v>3959.14</v>
      </c>
      <c r="V669">
        <f t="shared" si="94"/>
        <v>3959.14</v>
      </c>
      <c r="W669" s="6">
        <f t="shared" si="95"/>
        <v>0</v>
      </c>
      <c r="X669">
        <v>3239.53</v>
      </c>
      <c r="Y669">
        <v>719.61</v>
      </c>
      <c r="Z669">
        <f t="shared" si="96"/>
        <v>719.60999999999967</v>
      </c>
      <c r="AA669" s="6">
        <f t="shared" si="97"/>
        <v>0</v>
      </c>
      <c r="AB669">
        <f t="shared" si="98"/>
        <v>0.18175916992074029</v>
      </c>
      <c r="AC669" t="s">
        <v>111</v>
      </c>
      <c r="AD669" t="s">
        <v>103</v>
      </c>
      <c r="AE669" t="s">
        <v>2827</v>
      </c>
      <c r="AF669" t="s">
        <v>2814</v>
      </c>
    </row>
    <row r="670" spans="1:32">
      <c r="A670" t="s">
        <v>2088</v>
      </c>
      <c r="B670" s="3">
        <v>45617</v>
      </c>
      <c r="C670" t="str">
        <f t="shared" si="91"/>
        <v>November</v>
      </c>
      <c r="D670">
        <f t="shared" si="92"/>
        <v>2024</v>
      </c>
      <c r="E670" s="3">
        <v>45619</v>
      </c>
      <c r="F670">
        <f t="shared" si="90"/>
        <v>2</v>
      </c>
      <c r="G670" t="s">
        <v>2089</v>
      </c>
      <c r="H670" t="s">
        <v>36</v>
      </c>
      <c r="I670" t="s">
        <v>90</v>
      </c>
      <c r="J670" t="s">
        <v>63</v>
      </c>
      <c r="K670" t="s">
        <v>180</v>
      </c>
      <c r="L670" t="s">
        <v>181</v>
      </c>
      <c r="M670" t="s">
        <v>28</v>
      </c>
      <c r="N670" t="s">
        <v>29</v>
      </c>
      <c r="O670" t="s">
        <v>2090</v>
      </c>
      <c r="P670" t="s">
        <v>31</v>
      </c>
      <c r="Q670">
        <v>5</v>
      </c>
      <c r="R670">
        <v>600.46</v>
      </c>
      <c r="S670" s="6">
        <v>0.2</v>
      </c>
      <c r="T670" s="6">
        <f t="shared" si="93"/>
        <v>0.2</v>
      </c>
      <c r="U670">
        <v>2401.84</v>
      </c>
      <c r="V670">
        <f t="shared" si="94"/>
        <v>2401.84</v>
      </c>
      <c r="W670" s="6">
        <f t="shared" si="95"/>
        <v>0</v>
      </c>
      <c r="X670">
        <v>1873.11</v>
      </c>
      <c r="Y670">
        <v>528.73</v>
      </c>
      <c r="Z670">
        <f t="shared" si="96"/>
        <v>528.73000000000025</v>
      </c>
      <c r="AA670" s="6">
        <f t="shared" si="97"/>
        <v>0</v>
      </c>
      <c r="AB670">
        <f t="shared" si="98"/>
        <v>0.22013539619624964</v>
      </c>
      <c r="AC670" t="s">
        <v>32</v>
      </c>
      <c r="AD670" t="s">
        <v>33</v>
      </c>
      <c r="AE670" t="s">
        <v>2828</v>
      </c>
    </row>
    <row r="671" spans="1:32">
      <c r="A671" t="s">
        <v>2091</v>
      </c>
      <c r="B671" s="3">
        <v>45375</v>
      </c>
      <c r="C671" t="str">
        <f t="shared" si="91"/>
        <v>March</v>
      </c>
      <c r="D671">
        <f t="shared" si="92"/>
        <v>2024</v>
      </c>
      <c r="E671" s="3">
        <v>45295</v>
      </c>
      <c r="F671">
        <f t="shared" si="90"/>
        <v>-80</v>
      </c>
      <c r="G671" t="s">
        <v>2092</v>
      </c>
      <c r="H671" t="s">
        <v>62</v>
      </c>
      <c r="I671" t="s">
        <v>95</v>
      </c>
      <c r="J671" t="s">
        <v>63</v>
      </c>
      <c r="K671" t="s">
        <v>64</v>
      </c>
      <c r="L671" t="s">
        <v>65</v>
      </c>
      <c r="M671" t="s">
        <v>41</v>
      </c>
      <c r="N671" t="s">
        <v>42</v>
      </c>
      <c r="O671" t="s">
        <v>2093</v>
      </c>
      <c r="P671" t="s">
        <v>31</v>
      </c>
      <c r="Q671">
        <v>4</v>
      </c>
      <c r="R671">
        <v>1700.72</v>
      </c>
      <c r="S671" s="6">
        <v>0.25</v>
      </c>
      <c r="T671" s="6">
        <f t="shared" si="93"/>
        <v>0.25</v>
      </c>
      <c r="U671">
        <v>5102.16</v>
      </c>
      <c r="V671">
        <f t="shared" si="94"/>
        <v>5102.16</v>
      </c>
      <c r="W671" s="6">
        <f t="shared" si="95"/>
        <v>0</v>
      </c>
      <c r="X671">
        <v>3226.45</v>
      </c>
      <c r="Y671">
        <v>1875.71</v>
      </c>
      <c r="Z671">
        <f t="shared" si="96"/>
        <v>1875.71</v>
      </c>
      <c r="AA671" s="6">
        <f t="shared" si="97"/>
        <v>0</v>
      </c>
      <c r="AB671">
        <f t="shared" si="98"/>
        <v>0.36763057214983458</v>
      </c>
      <c r="AC671" t="s">
        <v>32</v>
      </c>
      <c r="AD671" t="s">
        <v>33</v>
      </c>
      <c r="AE671" t="s">
        <v>2826</v>
      </c>
      <c r="AF671" s="10" t="s">
        <v>2790</v>
      </c>
    </row>
    <row r="672" spans="1:32">
      <c r="A672" t="s">
        <v>2094</v>
      </c>
      <c r="B672" s="3">
        <v>45690</v>
      </c>
      <c r="C672" t="str">
        <f t="shared" si="91"/>
        <v>February</v>
      </c>
      <c r="D672">
        <f t="shared" si="92"/>
        <v>2025</v>
      </c>
      <c r="E672" s="3">
        <v>45810</v>
      </c>
      <c r="F672">
        <f t="shared" si="90"/>
        <v>120</v>
      </c>
      <c r="G672" t="s">
        <v>1596</v>
      </c>
      <c r="H672" t="s">
        <v>132</v>
      </c>
      <c r="I672" t="s">
        <v>90</v>
      </c>
      <c r="J672" t="s">
        <v>25</v>
      </c>
      <c r="K672" t="s">
        <v>136</v>
      </c>
      <c r="L672" t="s">
        <v>137</v>
      </c>
      <c r="M672" t="s">
        <v>41</v>
      </c>
      <c r="N672" t="s">
        <v>42</v>
      </c>
      <c r="O672" t="s">
        <v>2095</v>
      </c>
      <c r="P672" t="s">
        <v>59</v>
      </c>
      <c r="Q672">
        <v>8</v>
      </c>
      <c r="R672">
        <v>857.86</v>
      </c>
      <c r="S672" s="6">
        <v>0.1</v>
      </c>
      <c r="T672" s="6">
        <f t="shared" si="93"/>
        <v>0.1</v>
      </c>
      <c r="U672">
        <v>6176.59</v>
      </c>
      <c r="V672">
        <f t="shared" si="94"/>
        <v>6176.5920000000006</v>
      </c>
      <c r="W672" s="6">
        <f t="shared" si="95"/>
        <v>2.0000000004074536E-3</v>
      </c>
      <c r="X672">
        <v>3560.96</v>
      </c>
      <c r="Y672">
        <v>2615.63</v>
      </c>
      <c r="Z672">
        <f t="shared" si="96"/>
        <v>2615.6320000000005</v>
      </c>
      <c r="AA672" s="6">
        <f t="shared" si="97"/>
        <v>2.0000000004074536E-3</v>
      </c>
      <c r="AB672">
        <f t="shared" si="98"/>
        <v>0.42347495188285067</v>
      </c>
      <c r="AC672" t="s">
        <v>32</v>
      </c>
      <c r="AD672" t="s">
        <v>33</v>
      </c>
      <c r="AE672" t="s">
        <v>2828</v>
      </c>
    </row>
    <row r="673" spans="1:32">
      <c r="A673" t="s">
        <v>2096</v>
      </c>
      <c r="B673" s="3">
        <v>45373</v>
      </c>
      <c r="C673" t="str">
        <f t="shared" si="91"/>
        <v>March</v>
      </c>
      <c r="D673">
        <f t="shared" si="92"/>
        <v>2024</v>
      </c>
      <c r="E673" s="3">
        <v>45378</v>
      </c>
      <c r="F673">
        <f t="shared" si="90"/>
        <v>5</v>
      </c>
      <c r="G673" t="s">
        <v>2097</v>
      </c>
      <c r="H673" t="s">
        <v>89</v>
      </c>
      <c r="I673" t="s">
        <v>95</v>
      </c>
      <c r="J673" t="s">
        <v>63</v>
      </c>
      <c r="K673" t="s">
        <v>190</v>
      </c>
      <c r="L673" t="s">
        <v>191</v>
      </c>
      <c r="M673" t="s">
        <v>74</v>
      </c>
      <c r="N673" t="s">
        <v>80</v>
      </c>
      <c r="O673" t="s">
        <v>2098</v>
      </c>
      <c r="P673" t="s">
        <v>31</v>
      </c>
      <c r="Q673">
        <v>9</v>
      </c>
      <c r="R673">
        <v>3649.51</v>
      </c>
      <c r="S673" s="6">
        <v>0.05</v>
      </c>
      <c r="T673" s="6">
        <f t="shared" si="93"/>
        <v>0.05</v>
      </c>
      <c r="U673">
        <v>31203.31</v>
      </c>
      <c r="V673">
        <f t="shared" si="94"/>
        <v>31203.310500000003</v>
      </c>
      <c r="W673" s="6">
        <f t="shared" si="95"/>
        <v>5.0000000192085281E-4</v>
      </c>
      <c r="X673">
        <v>17738.13</v>
      </c>
      <c r="Y673">
        <v>13465.18</v>
      </c>
      <c r="Z673">
        <f t="shared" si="96"/>
        <v>13465.180500000002</v>
      </c>
      <c r="AA673" s="6">
        <f t="shared" si="97"/>
        <v>5.0000000192085281E-4</v>
      </c>
      <c r="AB673">
        <f t="shared" si="98"/>
        <v>0.43153051020019179</v>
      </c>
      <c r="AC673" t="s">
        <v>32</v>
      </c>
      <c r="AD673" t="s">
        <v>33</v>
      </c>
      <c r="AE673" t="s">
        <v>2828</v>
      </c>
    </row>
    <row r="674" spans="1:32">
      <c r="A674" t="s">
        <v>2099</v>
      </c>
      <c r="B674" s="3">
        <v>45391</v>
      </c>
      <c r="C674" t="str">
        <f t="shared" si="91"/>
        <v>April</v>
      </c>
      <c r="D674">
        <f t="shared" si="92"/>
        <v>2024</v>
      </c>
      <c r="E674" s="3">
        <v>45421</v>
      </c>
      <c r="F674">
        <f t="shared" si="90"/>
        <v>30</v>
      </c>
      <c r="G674" t="s">
        <v>2100</v>
      </c>
      <c r="H674" t="s">
        <v>89</v>
      </c>
      <c r="I674" t="s">
        <v>90</v>
      </c>
      <c r="J674" t="s">
        <v>63</v>
      </c>
      <c r="K674" t="s">
        <v>72</v>
      </c>
      <c r="L674" t="s">
        <v>73</v>
      </c>
      <c r="M674" t="s">
        <v>41</v>
      </c>
      <c r="N674" t="s">
        <v>66</v>
      </c>
      <c r="O674" t="s">
        <v>2101</v>
      </c>
      <c r="P674" t="s">
        <v>59</v>
      </c>
      <c r="Q674">
        <v>5</v>
      </c>
      <c r="R674">
        <v>2528.5300000000002</v>
      </c>
      <c r="S674" s="6">
        <v>0.05</v>
      </c>
      <c r="T674" s="6">
        <f t="shared" si="93"/>
        <v>0.05</v>
      </c>
      <c r="U674">
        <v>12010.52</v>
      </c>
      <c r="V674">
        <f t="shared" si="94"/>
        <v>12010.5175</v>
      </c>
      <c r="W674" s="6">
        <f t="shared" si="95"/>
        <v>-2.500000000509317E-3</v>
      </c>
      <c r="X674">
        <v>7864.61</v>
      </c>
      <c r="Y674">
        <v>4145.91</v>
      </c>
      <c r="Z674">
        <f t="shared" si="96"/>
        <v>4145.9075000000003</v>
      </c>
      <c r="AA674" s="6">
        <f t="shared" si="97"/>
        <v>-2.4999999995998223E-3</v>
      </c>
      <c r="AB674">
        <f t="shared" si="98"/>
        <v>0.34518974723612039</v>
      </c>
      <c r="AC674" t="s">
        <v>32</v>
      </c>
      <c r="AD674" t="s">
        <v>103</v>
      </c>
      <c r="AE674" t="s">
        <v>2827</v>
      </c>
      <c r="AF674" t="s">
        <v>103</v>
      </c>
    </row>
    <row r="675" spans="1:32">
      <c r="A675" t="s">
        <v>2102</v>
      </c>
      <c r="B675" s="3">
        <v>45701</v>
      </c>
      <c r="C675" t="str">
        <f t="shared" si="91"/>
        <v>February</v>
      </c>
      <c r="D675">
        <f t="shared" si="92"/>
        <v>2025</v>
      </c>
      <c r="E675" s="3">
        <v>45704</v>
      </c>
      <c r="F675">
        <f t="shared" si="90"/>
        <v>3</v>
      </c>
      <c r="G675" t="s">
        <v>2103</v>
      </c>
      <c r="H675" t="s">
        <v>53</v>
      </c>
      <c r="I675" t="s">
        <v>37</v>
      </c>
      <c r="J675" t="s">
        <v>63</v>
      </c>
      <c r="K675" t="s">
        <v>26</v>
      </c>
      <c r="L675" t="s">
        <v>109</v>
      </c>
      <c r="M675" t="s">
        <v>41</v>
      </c>
      <c r="N675" t="s">
        <v>158</v>
      </c>
      <c r="O675" t="s">
        <v>2104</v>
      </c>
      <c r="P675" t="s">
        <v>31</v>
      </c>
      <c r="Q675">
        <v>4</v>
      </c>
      <c r="R675">
        <v>4072.9</v>
      </c>
      <c r="S675" s="6">
        <v>0.15</v>
      </c>
      <c r="T675" s="6">
        <f t="shared" si="93"/>
        <v>0.15</v>
      </c>
      <c r="U675">
        <v>13847.86</v>
      </c>
      <c r="V675">
        <f t="shared" si="94"/>
        <v>13847.86</v>
      </c>
      <c r="W675" s="6">
        <f t="shared" si="95"/>
        <v>0</v>
      </c>
      <c r="X675">
        <v>8471.7800000000007</v>
      </c>
      <c r="Y675">
        <v>5376.08</v>
      </c>
      <c r="Z675">
        <f t="shared" si="96"/>
        <v>5376.08</v>
      </c>
      <c r="AA675" s="6">
        <f t="shared" si="97"/>
        <v>0</v>
      </c>
      <c r="AB675">
        <f t="shared" si="98"/>
        <v>0.38822460654570451</v>
      </c>
      <c r="AC675" t="s">
        <v>32</v>
      </c>
      <c r="AD675" t="s">
        <v>33</v>
      </c>
      <c r="AE675" t="s">
        <v>2828</v>
      </c>
    </row>
    <row r="676" spans="1:32">
      <c r="A676" t="s">
        <v>2105</v>
      </c>
      <c r="B676" s="3">
        <v>45430</v>
      </c>
      <c r="C676" t="str">
        <f t="shared" si="91"/>
        <v>May</v>
      </c>
      <c r="D676">
        <f t="shared" si="92"/>
        <v>2024</v>
      </c>
      <c r="E676" s="3">
        <v>45433</v>
      </c>
      <c r="F676">
        <f t="shared" si="90"/>
        <v>3</v>
      </c>
      <c r="G676" t="s">
        <v>2106</v>
      </c>
      <c r="H676" t="s">
        <v>71</v>
      </c>
      <c r="I676" t="s">
        <v>90</v>
      </c>
      <c r="J676" t="s">
        <v>38</v>
      </c>
      <c r="K676" t="s">
        <v>228</v>
      </c>
      <c r="L676" t="s">
        <v>229</v>
      </c>
      <c r="M676" t="s">
        <v>74</v>
      </c>
      <c r="N676" t="s">
        <v>75</v>
      </c>
      <c r="O676" t="s">
        <v>2107</v>
      </c>
      <c r="P676" t="s">
        <v>31</v>
      </c>
      <c r="Q676">
        <v>1</v>
      </c>
      <c r="R676">
        <v>1033.71</v>
      </c>
      <c r="S676" s="6">
        <v>0</v>
      </c>
      <c r="T676" s="6">
        <f t="shared" si="93"/>
        <v>0</v>
      </c>
      <c r="U676">
        <v>1033.71</v>
      </c>
      <c r="V676">
        <f t="shared" si="94"/>
        <v>1033.71</v>
      </c>
      <c r="W676" s="6">
        <f t="shared" si="95"/>
        <v>0</v>
      </c>
      <c r="X676">
        <v>630.82000000000005</v>
      </c>
      <c r="Y676">
        <v>402.89</v>
      </c>
      <c r="Z676">
        <f t="shared" si="96"/>
        <v>402.89</v>
      </c>
      <c r="AA676" s="6">
        <f t="shared" si="97"/>
        <v>0</v>
      </c>
      <c r="AB676">
        <f t="shared" si="98"/>
        <v>0.38975147768716562</v>
      </c>
      <c r="AC676" t="s">
        <v>111</v>
      </c>
      <c r="AD676" t="s">
        <v>103</v>
      </c>
      <c r="AE676" t="s">
        <v>2827</v>
      </c>
      <c r="AF676" t="s">
        <v>2814</v>
      </c>
    </row>
    <row r="677" spans="1:32">
      <c r="A677" t="s">
        <v>2108</v>
      </c>
      <c r="B677" s="3">
        <v>45844</v>
      </c>
      <c r="C677" t="str">
        <f t="shared" si="91"/>
        <v>July</v>
      </c>
      <c r="D677">
        <f t="shared" si="92"/>
        <v>2025</v>
      </c>
      <c r="E677" s="3">
        <v>45818</v>
      </c>
      <c r="F677">
        <f t="shared" si="90"/>
        <v>-26</v>
      </c>
      <c r="G677" t="s">
        <v>2009</v>
      </c>
      <c r="H677" t="s">
        <v>128</v>
      </c>
      <c r="I677" t="s">
        <v>24</v>
      </c>
      <c r="J677" t="s">
        <v>25</v>
      </c>
      <c r="K677" t="s">
        <v>26</v>
      </c>
      <c r="L677" t="s">
        <v>27</v>
      </c>
      <c r="M677" t="s">
        <v>41</v>
      </c>
      <c r="N677" t="s">
        <v>57</v>
      </c>
      <c r="O677" t="s">
        <v>2109</v>
      </c>
      <c r="P677" t="s">
        <v>44</v>
      </c>
      <c r="Q677">
        <v>3</v>
      </c>
      <c r="R677">
        <v>963.26</v>
      </c>
      <c r="S677" s="6">
        <v>0</v>
      </c>
      <c r="T677" s="6">
        <f t="shared" si="93"/>
        <v>0</v>
      </c>
      <c r="U677">
        <v>2889.78</v>
      </c>
      <c r="V677">
        <f t="shared" si="94"/>
        <v>2889.7799999999997</v>
      </c>
      <c r="W677" s="6">
        <f t="shared" si="95"/>
        <v>0</v>
      </c>
      <c r="X677">
        <v>1811.23</v>
      </c>
      <c r="Y677">
        <v>1078.55</v>
      </c>
      <c r="Z677">
        <f t="shared" si="96"/>
        <v>1078.5499999999997</v>
      </c>
      <c r="AA677" s="6">
        <f t="shared" si="97"/>
        <v>0</v>
      </c>
      <c r="AB677">
        <f t="shared" si="98"/>
        <v>0.37322910394562903</v>
      </c>
      <c r="AC677" t="s">
        <v>32</v>
      </c>
      <c r="AD677" t="s">
        <v>33</v>
      </c>
      <c r="AE677" t="s">
        <v>2826</v>
      </c>
      <c r="AF677" s="10" t="s">
        <v>2790</v>
      </c>
    </row>
    <row r="678" spans="1:32">
      <c r="A678" t="s">
        <v>2110</v>
      </c>
      <c r="B678" s="3">
        <v>45911</v>
      </c>
      <c r="C678" t="str">
        <f t="shared" si="91"/>
        <v>September</v>
      </c>
      <c r="D678">
        <f t="shared" si="92"/>
        <v>2025</v>
      </c>
      <c r="E678" s="3">
        <v>45918</v>
      </c>
      <c r="F678">
        <f t="shared" si="90"/>
        <v>7</v>
      </c>
      <c r="G678" t="s">
        <v>2111</v>
      </c>
      <c r="H678" t="s">
        <v>118</v>
      </c>
      <c r="I678" t="s">
        <v>37</v>
      </c>
      <c r="J678" t="s">
        <v>25</v>
      </c>
      <c r="K678" t="s">
        <v>350</v>
      </c>
      <c r="L678" t="s">
        <v>351</v>
      </c>
      <c r="M678" t="s">
        <v>74</v>
      </c>
      <c r="N678" t="s">
        <v>171</v>
      </c>
      <c r="O678" t="s">
        <v>2112</v>
      </c>
      <c r="P678" t="s">
        <v>44</v>
      </c>
      <c r="Q678">
        <v>7</v>
      </c>
      <c r="R678">
        <v>3411.21</v>
      </c>
      <c r="S678" s="6">
        <v>0.15</v>
      </c>
      <c r="T678" s="6">
        <f t="shared" si="93"/>
        <v>0.15</v>
      </c>
      <c r="U678">
        <v>20296.7</v>
      </c>
      <c r="V678">
        <f t="shared" si="94"/>
        <v>20296.699499999999</v>
      </c>
      <c r="W678" s="6">
        <f t="shared" si="95"/>
        <v>-5.0000000192085281E-4</v>
      </c>
      <c r="X678">
        <v>14920.87</v>
      </c>
      <c r="Y678">
        <v>5375.83</v>
      </c>
      <c r="Z678">
        <f t="shared" si="96"/>
        <v>5375.829499999998</v>
      </c>
      <c r="AA678" s="6">
        <f t="shared" si="97"/>
        <v>-5.0000000192085281E-4</v>
      </c>
      <c r="AB678">
        <f t="shared" si="98"/>
        <v>0.26486225014071862</v>
      </c>
      <c r="AC678" t="s">
        <v>32</v>
      </c>
      <c r="AD678" t="s">
        <v>33</v>
      </c>
      <c r="AE678" t="s">
        <v>2828</v>
      </c>
    </row>
    <row r="679" spans="1:32">
      <c r="A679" t="s">
        <v>2113</v>
      </c>
      <c r="B679" s="3">
        <v>45465</v>
      </c>
      <c r="C679" t="str">
        <f t="shared" si="91"/>
        <v>June</v>
      </c>
      <c r="D679">
        <f t="shared" si="92"/>
        <v>2024</v>
      </c>
      <c r="E679" s="3">
        <v>45470</v>
      </c>
      <c r="F679">
        <f t="shared" si="90"/>
        <v>5</v>
      </c>
      <c r="G679" t="s">
        <v>22</v>
      </c>
      <c r="H679" t="s">
        <v>47</v>
      </c>
      <c r="I679" t="s">
        <v>95</v>
      </c>
      <c r="J679" t="s">
        <v>54</v>
      </c>
      <c r="K679" t="s">
        <v>175</v>
      </c>
      <c r="L679" t="s">
        <v>176</v>
      </c>
      <c r="M679" t="s">
        <v>41</v>
      </c>
      <c r="N679" t="s">
        <v>66</v>
      </c>
      <c r="O679" t="s">
        <v>2114</v>
      </c>
      <c r="P679" t="s">
        <v>44</v>
      </c>
      <c r="Q679">
        <v>7</v>
      </c>
      <c r="R679">
        <v>2623.48</v>
      </c>
      <c r="S679" s="6">
        <v>0</v>
      </c>
      <c r="T679" s="6">
        <f t="shared" si="93"/>
        <v>0</v>
      </c>
      <c r="U679">
        <v>18364.36</v>
      </c>
      <c r="V679">
        <f t="shared" si="94"/>
        <v>18364.36</v>
      </c>
      <c r="W679" s="6">
        <f t="shared" si="95"/>
        <v>0</v>
      </c>
      <c r="X679">
        <v>15445.81</v>
      </c>
      <c r="Y679">
        <v>2918.55</v>
      </c>
      <c r="Z679">
        <f t="shared" si="96"/>
        <v>2918.5500000000011</v>
      </c>
      <c r="AA679" s="6">
        <f t="shared" si="97"/>
        <v>0</v>
      </c>
      <c r="AB679">
        <f t="shared" si="98"/>
        <v>0.15892467801763857</v>
      </c>
      <c r="AC679" t="s">
        <v>32</v>
      </c>
      <c r="AD679" t="s">
        <v>33</v>
      </c>
      <c r="AE679" t="s">
        <v>2828</v>
      </c>
    </row>
    <row r="680" spans="1:32">
      <c r="A680" t="s">
        <v>2115</v>
      </c>
      <c r="B680" s="3">
        <v>45620</v>
      </c>
      <c r="C680" t="str">
        <f t="shared" si="91"/>
        <v>November</v>
      </c>
      <c r="D680">
        <f t="shared" si="92"/>
        <v>2024</v>
      </c>
      <c r="E680" s="3">
        <v>45627</v>
      </c>
      <c r="F680">
        <f t="shared" si="90"/>
        <v>7</v>
      </c>
      <c r="G680" t="s">
        <v>2116</v>
      </c>
      <c r="H680" t="s">
        <v>264</v>
      </c>
      <c r="I680" t="s">
        <v>90</v>
      </c>
      <c r="J680" t="s">
        <v>54</v>
      </c>
      <c r="K680" t="s">
        <v>175</v>
      </c>
      <c r="L680" t="s">
        <v>176</v>
      </c>
      <c r="M680" t="s">
        <v>41</v>
      </c>
      <c r="N680" t="s">
        <v>42</v>
      </c>
      <c r="O680" t="s">
        <v>2117</v>
      </c>
      <c r="P680" t="s">
        <v>31</v>
      </c>
      <c r="Q680">
        <v>9</v>
      </c>
      <c r="R680">
        <v>2763.61</v>
      </c>
      <c r="S680" s="6">
        <v>0.15</v>
      </c>
      <c r="T680" s="6">
        <f t="shared" si="93"/>
        <v>0.15</v>
      </c>
      <c r="U680">
        <v>21141.62</v>
      </c>
      <c r="V680">
        <f t="shared" si="94"/>
        <v>21141.6165</v>
      </c>
      <c r="W680" s="6">
        <f t="shared" si="95"/>
        <v>-3.4999999988940544E-3</v>
      </c>
      <c r="X680">
        <v>11676.33</v>
      </c>
      <c r="Y680">
        <v>9465.2900000000009</v>
      </c>
      <c r="Z680">
        <f t="shared" si="96"/>
        <v>9465.2865000000002</v>
      </c>
      <c r="AA680" s="6">
        <f t="shared" si="97"/>
        <v>-3.5000000007130438E-3</v>
      </c>
      <c r="AB680">
        <f t="shared" si="98"/>
        <v>0.44770874071999178</v>
      </c>
      <c r="AC680" t="s">
        <v>32</v>
      </c>
      <c r="AD680" t="s">
        <v>33</v>
      </c>
      <c r="AE680" t="s">
        <v>2828</v>
      </c>
    </row>
    <row r="681" spans="1:32">
      <c r="A681" t="s">
        <v>2118</v>
      </c>
      <c r="B681" s="3">
        <v>45885</v>
      </c>
      <c r="C681" t="str">
        <f t="shared" si="91"/>
        <v>August</v>
      </c>
      <c r="D681">
        <f t="shared" si="92"/>
        <v>2025</v>
      </c>
      <c r="E681" s="3">
        <v>45892</v>
      </c>
      <c r="F681">
        <f t="shared" si="90"/>
        <v>7</v>
      </c>
      <c r="G681" t="s">
        <v>2119</v>
      </c>
      <c r="H681" t="s">
        <v>141</v>
      </c>
      <c r="I681" t="s">
        <v>90</v>
      </c>
      <c r="J681" t="s">
        <v>25</v>
      </c>
      <c r="K681" t="s">
        <v>122</v>
      </c>
      <c r="L681" t="s">
        <v>123</v>
      </c>
      <c r="M681" t="s">
        <v>74</v>
      </c>
      <c r="N681" t="s">
        <v>80</v>
      </c>
      <c r="O681" t="s">
        <v>2120</v>
      </c>
      <c r="P681" t="s">
        <v>44</v>
      </c>
      <c r="Q681">
        <v>4</v>
      </c>
      <c r="R681">
        <v>1410.57</v>
      </c>
      <c r="S681" s="6">
        <v>0.7</v>
      </c>
      <c r="T681" s="6">
        <f t="shared" si="93"/>
        <v>0.7</v>
      </c>
      <c r="U681">
        <v>5360.17</v>
      </c>
      <c r="V681">
        <f t="shared" si="94"/>
        <v>1692.6840000000002</v>
      </c>
      <c r="W681" s="6">
        <f t="shared" si="95"/>
        <v>-3667.4859999999999</v>
      </c>
      <c r="X681">
        <v>3881.51</v>
      </c>
      <c r="Y681">
        <v>1478.66</v>
      </c>
      <c r="Z681">
        <f t="shared" si="96"/>
        <v>-2188.826</v>
      </c>
      <c r="AA681" s="6">
        <f t="shared" si="97"/>
        <v>-3667.4859999999999</v>
      </c>
      <c r="AB681">
        <f t="shared" si="98"/>
        <v>-1.2931096412561351</v>
      </c>
      <c r="AC681" t="s">
        <v>102</v>
      </c>
      <c r="AD681" t="s">
        <v>68</v>
      </c>
      <c r="AE681" t="s">
        <v>2826</v>
      </c>
      <c r="AF681" s="10" t="s">
        <v>2811</v>
      </c>
    </row>
    <row r="682" spans="1:32">
      <c r="A682" t="s">
        <v>2121</v>
      </c>
      <c r="B682" s="3">
        <v>45441</v>
      </c>
      <c r="C682" t="str">
        <f t="shared" si="91"/>
        <v>May</v>
      </c>
      <c r="D682">
        <f t="shared" si="92"/>
        <v>2024</v>
      </c>
      <c r="E682" s="3">
        <v>45418</v>
      </c>
      <c r="F682">
        <f t="shared" si="90"/>
        <v>-23</v>
      </c>
      <c r="G682" t="s">
        <v>2122</v>
      </c>
      <c r="H682" t="s">
        <v>264</v>
      </c>
      <c r="I682" t="s">
        <v>90</v>
      </c>
      <c r="J682" t="s">
        <v>54</v>
      </c>
      <c r="K682" t="s">
        <v>247</v>
      </c>
      <c r="L682" t="s">
        <v>248</v>
      </c>
      <c r="M682" t="s">
        <v>74</v>
      </c>
      <c r="N682" t="s">
        <v>75</v>
      </c>
      <c r="O682" t="s">
        <v>2123</v>
      </c>
      <c r="P682" t="s">
        <v>50</v>
      </c>
      <c r="Q682">
        <v>4</v>
      </c>
      <c r="R682">
        <v>3700.24</v>
      </c>
      <c r="S682" s="6">
        <v>0</v>
      </c>
      <c r="T682" s="6">
        <f t="shared" si="93"/>
        <v>0</v>
      </c>
      <c r="U682">
        <v>14800.96</v>
      </c>
      <c r="V682">
        <f t="shared" si="94"/>
        <v>14800.96</v>
      </c>
      <c r="W682" s="6">
        <f t="shared" si="95"/>
        <v>0</v>
      </c>
      <c r="X682">
        <v>12048.39</v>
      </c>
      <c r="Y682">
        <v>2752.57</v>
      </c>
      <c r="Z682">
        <f t="shared" si="96"/>
        <v>2752.5699999999997</v>
      </c>
      <c r="AA682" s="6">
        <f t="shared" si="97"/>
        <v>0</v>
      </c>
      <c r="AB682">
        <f t="shared" si="98"/>
        <v>0.18597239638509933</v>
      </c>
      <c r="AC682" t="s">
        <v>32</v>
      </c>
      <c r="AD682" t="s">
        <v>33</v>
      </c>
      <c r="AE682" t="s">
        <v>2826</v>
      </c>
      <c r="AF682" s="10" t="s">
        <v>2790</v>
      </c>
    </row>
    <row r="683" spans="1:32">
      <c r="A683" t="s">
        <v>2124</v>
      </c>
      <c r="B683" s="3">
        <v>45477</v>
      </c>
      <c r="C683" t="str">
        <f t="shared" si="91"/>
        <v>July</v>
      </c>
      <c r="D683">
        <f t="shared" si="92"/>
        <v>2024</v>
      </c>
      <c r="E683" s="3">
        <v>45572</v>
      </c>
      <c r="F683">
        <f t="shared" si="90"/>
        <v>95</v>
      </c>
      <c r="G683" t="s">
        <v>2125</v>
      </c>
      <c r="H683" t="s">
        <v>71</v>
      </c>
      <c r="I683" t="s">
        <v>90</v>
      </c>
      <c r="J683" t="s">
        <v>25</v>
      </c>
      <c r="K683" t="s">
        <v>350</v>
      </c>
      <c r="L683" t="s">
        <v>351</v>
      </c>
      <c r="M683" t="s">
        <v>41</v>
      </c>
      <c r="N683" t="s">
        <v>42</v>
      </c>
      <c r="O683" t="s">
        <v>2126</v>
      </c>
      <c r="P683" t="s">
        <v>31</v>
      </c>
      <c r="Q683">
        <v>5</v>
      </c>
      <c r="R683">
        <v>1200.27</v>
      </c>
      <c r="S683" s="6">
        <v>0</v>
      </c>
      <c r="T683" s="6">
        <f t="shared" si="93"/>
        <v>0</v>
      </c>
      <c r="U683">
        <v>6001.35</v>
      </c>
      <c r="V683">
        <f t="shared" si="94"/>
        <v>6001.35</v>
      </c>
      <c r="W683" s="6">
        <f t="shared" si="95"/>
        <v>0</v>
      </c>
      <c r="X683">
        <v>4182.99</v>
      </c>
      <c r="Y683">
        <v>1818.36</v>
      </c>
      <c r="Z683">
        <f t="shared" si="96"/>
        <v>1818.3600000000006</v>
      </c>
      <c r="AA683" s="6">
        <f t="shared" si="97"/>
        <v>0</v>
      </c>
      <c r="AB683">
        <f t="shared" si="98"/>
        <v>0.30299182683896131</v>
      </c>
      <c r="AC683" t="s">
        <v>32</v>
      </c>
      <c r="AD683" t="s">
        <v>68</v>
      </c>
      <c r="AE683" t="s">
        <v>2827</v>
      </c>
      <c r="AF683" t="s">
        <v>2795</v>
      </c>
    </row>
    <row r="684" spans="1:32">
      <c r="A684" t="s">
        <v>2127</v>
      </c>
      <c r="B684" s="3">
        <v>45779</v>
      </c>
      <c r="C684" t="str">
        <f t="shared" si="91"/>
        <v>May</v>
      </c>
      <c r="D684">
        <f t="shared" si="92"/>
        <v>2025</v>
      </c>
      <c r="E684" s="3">
        <v>45779</v>
      </c>
      <c r="F684">
        <f t="shared" si="90"/>
        <v>0</v>
      </c>
      <c r="G684" t="s">
        <v>2128</v>
      </c>
      <c r="H684" t="s">
        <v>62</v>
      </c>
      <c r="I684" t="s">
        <v>90</v>
      </c>
      <c r="J684" t="s">
        <v>25</v>
      </c>
      <c r="K684" t="s">
        <v>236</v>
      </c>
      <c r="L684" t="s">
        <v>237</v>
      </c>
      <c r="M684" t="s">
        <v>28</v>
      </c>
      <c r="N684" t="s">
        <v>124</v>
      </c>
      <c r="O684" t="s">
        <v>2129</v>
      </c>
      <c r="P684" t="s">
        <v>44</v>
      </c>
      <c r="Q684">
        <v>3</v>
      </c>
      <c r="R684">
        <v>2590.7800000000002</v>
      </c>
      <c r="S684" s="6">
        <v>0</v>
      </c>
      <c r="T684" s="6">
        <f t="shared" si="93"/>
        <v>0</v>
      </c>
      <c r="U684">
        <v>7383.72</v>
      </c>
      <c r="V684">
        <f t="shared" si="94"/>
        <v>7772.34</v>
      </c>
      <c r="W684" s="6">
        <f t="shared" si="95"/>
        <v>388.61999999999989</v>
      </c>
      <c r="X684">
        <v>4113.66</v>
      </c>
      <c r="Y684">
        <v>3270.06</v>
      </c>
      <c r="Z684">
        <f t="shared" si="96"/>
        <v>3658.6800000000003</v>
      </c>
      <c r="AA684" s="6">
        <f t="shared" si="97"/>
        <v>388.62000000000035</v>
      </c>
      <c r="AB684">
        <f t="shared" si="98"/>
        <v>0.47073082237781677</v>
      </c>
      <c r="AC684" t="s">
        <v>32</v>
      </c>
      <c r="AD684" t="s">
        <v>33</v>
      </c>
      <c r="AE684" t="s">
        <v>2828</v>
      </c>
    </row>
    <row r="685" spans="1:32">
      <c r="A685" t="s">
        <v>2130</v>
      </c>
      <c r="B685" s="3">
        <v>45858</v>
      </c>
      <c r="C685" t="str">
        <f t="shared" si="91"/>
        <v>July</v>
      </c>
      <c r="D685">
        <f t="shared" si="92"/>
        <v>2025</v>
      </c>
      <c r="E685" s="3">
        <v>45862</v>
      </c>
      <c r="F685">
        <f t="shared" si="90"/>
        <v>4</v>
      </c>
      <c r="G685" t="s">
        <v>2131</v>
      </c>
      <c r="H685" t="s">
        <v>53</v>
      </c>
      <c r="I685" t="s">
        <v>37</v>
      </c>
      <c r="J685" t="s">
        <v>54</v>
      </c>
      <c r="K685" t="s">
        <v>55</v>
      </c>
      <c r="L685" t="s">
        <v>56</v>
      </c>
      <c r="M685" t="s">
        <v>41</v>
      </c>
      <c r="N685" t="s">
        <v>57</v>
      </c>
      <c r="O685" t="s">
        <v>2132</v>
      </c>
      <c r="P685" t="s">
        <v>31</v>
      </c>
      <c r="Q685">
        <v>6</v>
      </c>
      <c r="R685">
        <v>1646.45</v>
      </c>
      <c r="S685" s="6">
        <v>0.2</v>
      </c>
      <c r="T685" s="6">
        <f t="shared" si="93"/>
        <v>0.2</v>
      </c>
      <c r="U685">
        <v>7902.96</v>
      </c>
      <c r="V685">
        <f t="shared" si="94"/>
        <v>7902.9600000000009</v>
      </c>
      <c r="W685" s="6">
        <f t="shared" si="95"/>
        <v>0</v>
      </c>
      <c r="X685">
        <v>5512.03</v>
      </c>
      <c r="Y685">
        <v>2390.9299999999998</v>
      </c>
      <c r="Z685">
        <f t="shared" si="96"/>
        <v>2390.9300000000012</v>
      </c>
      <c r="AA685" s="6">
        <f t="shared" si="97"/>
        <v>0</v>
      </c>
      <c r="AB685">
        <f t="shared" si="98"/>
        <v>0.30253601182341816</v>
      </c>
      <c r="AC685" t="s">
        <v>102</v>
      </c>
      <c r="AD685" t="s">
        <v>68</v>
      </c>
      <c r="AE685" t="s">
        <v>2827</v>
      </c>
      <c r="AF685" t="s">
        <v>2808</v>
      </c>
    </row>
    <row r="686" spans="1:32">
      <c r="A686" t="s">
        <v>2133</v>
      </c>
      <c r="B686" s="3">
        <v>45859</v>
      </c>
      <c r="C686" t="str">
        <f t="shared" si="91"/>
        <v>July</v>
      </c>
      <c r="D686">
        <f t="shared" si="92"/>
        <v>2025</v>
      </c>
      <c r="E686" s="3">
        <v>45859</v>
      </c>
      <c r="F686">
        <f t="shared" si="90"/>
        <v>0</v>
      </c>
      <c r="G686" t="s">
        <v>2134</v>
      </c>
      <c r="H686" t="s">
        <v>47</v>
      </c>
      <c r="I686" t="s">
        <v>95</v>
      </c>
      <c r="J686" t="s">
        <v>54</v>
      </c>
      <c r="K686" t="s">
        <v>247</v>
      </c>
      <c r="L686" t="s">
        <v>248</v>
      </c>
      <c r="M686" t="s">
        <v>41</v>
      </c>
      <c r="N686" t="s">
        <v>158</v>
      </c>
      <c r="O686" t="s">
        <v>2135</v>
      </c>
      <c r="P686" t="s">
        <v>50</v>
      </c>
      <c r="Q686">
        <v>7</v>
      </c>
      <c r="R686">
        <v>4396.6499999999996</v>
      </c>
      <c r="S686" s="6">
        <v>0.2</v>
      </c>
      <c r="T686" s="6">
        <f t="shared" si="93"/>
        <v>0.2</v>
      </c>
      <c r="U686">
        <v>24621.24</v>
      </c>
      <c r="V686">
        <f t="shared" si="94"/>
        <v>24621.239999999998</v>
      </c>
      <c r="W686" s="6">
        <f t="shared" si="95"/>
        <v>0</v>
      </c>
      <c r="X686">
        <v>17155.48</v>
      </c>
      <c r="Y686">
        <v>7465.76</v>
      </c>
      <c r="Z686">
        <f t="shared" si="96"/>
        <v>7465.7599999999984</v>
      </c>
      <c r="AA686" s="6">
        <f t="shared" si="97"/>
        <v>0</v>
      </c>
      <c r="AB686">
        <f t="shared" si="98"/>
        <v>0.3032243705028666</v>
      </c>
      <c r="AC686" t="s">
        <v>102</v>
      </c>
      <c r="AD686" t="s">
        <v>68</v>
      </c>
      <c r="AE686" t="s">
        <v>2827</v>
      </c>
      <c r="AF686" t="s">
        <v>2808</v>
      </c>
    </row>
    <row r="687" spans="1:32">
      <c r="A687" t="s">
        <v>2136</v>
      </c>
      <c r="B687" s="3">
        <v>45667</v>
      </c>
      <c r="C687" t="str">
        <f t="shared" si="91"/>
        <v>January</v>
      </c>
      <c r="D687">
        <f t="shared" si="92"/>
        <v>2025</v>
      </c>
      <c r="E687" s="3">
        <v>45726</v>
      </c>
      <c r="F687">
        <f t="shared" si="90"/>
        <v>59</v>
      </c>
      <c r="G687" t="s">
        <v>1802</v>
      </c>
      <c r="H687" t="s">
        <v>79</v>
      </c>
      <c r="I687" t="s">
        <v>90</v>
      </c>
      <c r="J687" t="s">
        <v>63</v>
      </c>
      <c r="K687" t="s">
        <v>190</v>
      </c>
      <c r="L687" t="s">
        <v>191</v>
      </c>
      <c r="M687" t="s">
        <v>28</v>
      </c>
      <c r="N687" t="s">
        <v>48</v>
      </c>
      <c r="O687" t="s">
        <v>2137</v>
      </c>
      <c r="P687" t="s">
        <v>59</v>
      </c>
      <c r="Q687">
        <v>9</v>
      </c>
      <c r="R687">
        <v>818.15</v>
      </c>
      <c r="S687" s="6">
        <v>0.55000000000000004</v>
      </c>
      <c r="T687" s="6">
        <f t="shared" si="93"/>
        <v>0.55000000000000004</v>
      </c>
      <c r="U687">
        <v>6627.01</v>
      </c>
      <c r="V687">
        <f t="shared" si="94"/>
        <v>3313.5074999999993</v>
      </c>
      <c r="W687" s="6">
        <f t="shared" si="95"/>
        <v>-3313.502500000001</v>
      </c>
      <c r="X687">
        <v>5606.79</v>
      </c>
      <c r="Y687">
        <v>1020.22</v>
      </c>
      <c r="Z687">
        <f t="shared" si="96"/>
        <v>-2293.2825000000007</v>
      </c>
      <c r="AA687" s="6">
        <f t="shared" si="97"/>
        <v>-3313.5025000000005</v>
      </c>
      <c r="AB687">
        <f t="shared" si="98"/>
        <v>-0.69210119488185895</v>
      </c>
      <c r="AC687" t="s">
        <v>155</v>
      </c>
      <c r="AD687" t="s">
        <v>68</v>
      </c>
      <c r="AE687" t="s">
        <v>2827</v>
      </c>
      <c r="AF687" s="10" t="s">
        <v>2796</v>
      </c>
    </row>
    <row r="688" spans="1:32">
      <c r="A688" t="s">
        <v>2138</v>
      </c>
      <c r="B688" s="3">
        <v>45376</v>
      </c>
      <c r="C688" t="str">
        <f t="shared" si="91"/>
        <v>March</v>
      </c>
      <c r="D688">
        <f t="shared" si="92"/>
        <v>2024</v>
      </c>
      <c r="E688" s="3">
        <v>45384</v>
      </c>
      <c r="F688">
        <f t="shared" si="90"/>
        <v>8</v>
      </c>
      <c r="G688" t="s">
        <v>2139</v>
      </c>
      <c r="H688" t="s">
        <v>132</v>
      </c>
      <c r="I688" t="s">
        <v>95</v>
      </c>
      <c r="J688" t="s">
        <v>54</v>
      </c>
      <c r="K688" t="s">
        <v>247</v>
      </c>
      <c r="L688" t="s">
        <v>248</v>
      </c>
      <c r="M688" t="s">
        <v>74</v>
      </c>
      <c r="N688" t="s">
        <v>80</v>
      </c>
      <c r="O688" t="s">
        <v>2140</v>
      </c>
      <c r="P688" t="s">
        <v>59</v>
      </c>
      <c r="Q688">
        <v>2</v>
      </c>
      <c r="R688">
        <v>2349.13</v>
      </c>
      <c r="S688" s="6">
        <v>0</v>
      </c>
      <c r="T688" s="6">
        <f t="shared" si="93"/>
        <v>0</v>
      </c>
      <c r="U688">
        <v>4698.26</v>
      </c>
      <c r="V688">
        <f t="shared" si="94"/>
        <v>4698.26</v>
      </c>
      <c r="W688" s="6">
        <f t="shared" si="95"/>
        <v>0</v>
      </c>
      <c r="X688">
        <v>2654.92</v>
      </c>
      <c r="Y688">
        <v>2043.34</v>
      </c>
      <c r="Z688">
        <f t="shared" si="96"/>
        <v>2043.3400000000001</v>
      </c>
      <c r="AA688" s="6">
        <f t="shared" si="97"/>
        <v>0</v>
      </c>
      <c r="AB688">
        <f t="shared" si="98"/>
        <v>0.43491420227914163</v>
      </c>
      <c r="AC688" t="s">
        <v>32</v>
      </c>
      <c r="AD688" t="s">
        <v>33</v>
      </c>
      <c r="AE688" t="s">
        <v>2828</v>
      </c>
    </row>
    <row r="689" spans="1:32">
      <c r="A689" t="s">
        <v>2141</v>
      </c>
      <c r="B689" s="3">
        <v>45879</v>
      </c>
      <c r="C689" t="str">
        <f t="shared" si="91"/>
        <v>August</v>
      </c>
      <c r="D689">
        <f t="shared" si="92"/>
        <v>2025</v>
      </c>
      <c r="E689" s="3">
        <v>45943</v>
      </c>
      <c r="F689">
        <f t="shared" si="90"/>
        <v>64</v>
      </c>
      <c r="G689" t="s">
        <v>2142</v>
      </c>
      <c r="H689" t="s">
        <v>36</v>
      </c>
      <c r="I689" t="s">
        <v>95</v>
      </c>
      <c r="J689" t="s">
        <v>25</v>
      </c>
      <c r="K689" t="s">
        <v>122</v>
      </c>
      <c r="L689" t="s">
        <v>123</v>
      </c>
      <c r="M689" t="s">
        <v>41</v>
      </c>
      <c r="N689" t="s">
        <v>42</v>
      </c>
      <c r="O689" t="s">
        <v>2143</v>
      </c>
      <c r="P689" t="s">
        <v>50</v>
      </c>
      <c r="Q689">
        <v>4</v>
      </c>
      <c r="R689">
        <v>172.05</v>
      </c>
      <c r="S689" s="6">
        <v>0</v>
      </c>
      <c r="T689" s="6">
        <f t="shared" si="93"/>
        <v>0</v>
      </c>
      <c r="U689">
        <v>688.2</v>
      </c>
      <c r="V689">
        <f t="shared" si="94"/>
        <v>688.2</v>
      </c>
      <c r="W689" s="6">
        <f t="shared" si="95"/>
        <v>0</v>
      </c>
      <c r="X689">
        <v>497.68</v>
      </c>
      <c r="Y689">
        <v>190.52</v>
      </c>
      <c r="Z689">
        <f t="shared" si="96"/>
        <v>190.52000000000004</v>
      </c>
      <c r="AA689" s="6">
        <f t="shared" si="97"/>
        <v>0</v>
      </c>
      <c r="AB689">
        <f t="shared" si="98"/>
        <v>0.27683812845103173</v>
      </c>
      <c r="AC689" t="s">
        <v>155</v>
      </c>
      <c r="AD689" t="s">
        <v>68</v>
      </c>
      <c r="AE689" t="s">
        <v>2827</v>
      </c>
      <c r="AF689" s="10" t="s">
        <v>2796</v>
      </c>
    </row>
    <row r="690" spans="1:32">
      <c r="A690" t="s">
        <v>2144</v>
      </c>
      <c r="B690" s="3">
        <v>45714</v>
      </c>
      <c r="C690" t="str">
        <f t="shared" si="91"/>
        <v>February</v>
      </c>
      <c r="D690">
        <f t="shared" si="92"/>
        <v>2025</v>
      </c>
      <c r="E690" s="3">
        <v>45715</v>
      </c>
      <c r="F690">
        <f t="shared" si="90"/>
        <v>1</v>
      </c>
      <c r="G690" t="s">
        <v>2145</v>
      </c>
      <c r="H690" t="s">
        <v>79</v>
      </c>
      <c r="I690" t="s">
        <v>95</v>
      </c>
      <c r="J690" t="s">
        <v>25</v>
      </c>
      <c r="K690" t="s">
        <v>236</v>
      </c>
      <c r="L690" t="s">
        <v>237</v>
      </c>
      <c r="M690" t="s">
        <v>28</v>
      </c>
      <c r="N690" t="s">
        <v>48</v>
      </c>
      <c r="O690" t="s">
        <v>2146</v>
      </c>
      <c r="P690" t="s">
        <v>31</v>
      </c>
      <c r="Q690">
        <v>6</v>
      </c>
      <c r="R690">
        <v>3037.66</v>
      </c>
      <c r="S690" s="6">
        <v>0.15</v>
      </c>
      <c r="T690" s="6">
        <f t="shared" si="93"/>
        <v>0.15</v>
      </c>
      <c r="U690">
        <v>15492.07</v>
      </c>
      <c r="V690">
        <f t="shared" si="94"/>
        <v>15492.065999999999</v>
      </c>
      <c r="W690" s="6">
        <f t="shared" si="95"/>
        <v>-4.0000000008149073E-3</v>
      </c>
      <c r="X690">
        <v>12581.23</v>
      </c>
      <c r="Y690">
        <v>2910.84</v>
      </c>
      <c r="Z690">
        <f t="shared" si="96"/>
        <v>2910.8359999999993</v>
      </c>
      <c r="AA690" s="6">
        <f t="shared" si="97"/>
        <v>-4.0000000008149073E-3</v>
      </c>
      <c r="AB690">
        <f t="shared" si="98"/>
        <v>0.18789204745190213</v>
      </c>
      <c r="AC690" t="s">
        <v>32</v>
      </c>
      <c r="AD690" t="s">
        <v>33</v>
      </c>
      <c r="AE690" t="s">
        <v>2828</v>
      </c>
    </row>
    <row r="691" spans="1:32">
      <c r="A691" t="s">
        <v>2147</v>
      </c>
      <c r="B691" s="3">
        <v>45422</v>
      </c>
      <c r="C691" t="str">
        <f t="shared" si="91"/>
        <v>May</v>
      </c>
      <c r="D691">
        <f t="shared" si="92"/>
        <v>2024</v>
      </c>
      <c r="E691" s="3">
        <v>45453</v>
      </c>
      <c r="F691">
        <f t="shared" si="90"/>
        <v>31</v>
      </c>
      <c r="G691" t="s">
        <v>2148</v>
      </c>
      <c r="H691" t="s">
        <v>141</v>
      </c>
      <c r="I691" t="s">
        <v>37</v>
      </c>
      <c r="J691" t="s">
        <v>25</v>
      </c>
      <c r="K691" t="s">
        <v>122</v>
      </c>
      <c r="L691" t="s">
        <v>123</v>
      </c>
      <c r="M691" t="s">
        <v>41</v>
      </c>
      <c r="N691" t="s">
        <v>42</v>
      </c>
      <c r="O691" t="s">
        <v>2149</v>
      </c>
      <c r="P691" t="s">
        <v>59</v>
      </c>
      <c r="Q691">
        <v>9</v>
      </c>
      <c r="R691">
        <v>489.58</v>
      </c>
      <c r="S691" s="6">
        <v>0.15</v>
      </c>
      <c r="T691" s="6">
        <f t="shared" si="93"/>
        <v>0.15</v>
      </c>
      <c r="U691">
        <v>3745.29</v>
      </c>
      <c r="V691">
        <f t="shared" si="94"/>
        <v>3745.2870000000003</v>
      </c>
      <c r="W691" s="6">
        <f t="shared" si="95"/>
        <v>-2.9999999997016857E-3</v>
      </c>
      <c r="X691">
        <v>2302.65</v>
      </c>
      <c r="Y691">
        <v>1442.64</v>
      </c>
      <c r="Z691">
        <f t="shared" si="96"/>
        <v>1442.6370000000002</v>
      </c>
      <c r="AA691" s="6">
        <f t="shared" si="97"/>
        <v>-2.9999999999290594E-3</v>
      </c>
      <c r="AB691">
        <f t="shared" si="98"/>
        <v>0.38518730340291679</v>
      </c>
      <c r="AC691" t="s">
        <v>155</v>
      </c>
      <c r="AD691" t="s">
        <v>68</v>
      </c>
      <c r="AE691" t="s">
        <v>2827</v>
      </c>
      <c r="AF691" s="10" t="s">
        <v>2796</v>
      </c>
    </row>
    <row r="692" spans="1:32">
      <c r="A692" t="s">
        <v>2150</v>
      </c>
      <c r="B692" s="3">
        <v>45546</v>
      </c>
      <c r="C692" t="str">
        <f t="shared" si="91"/>
        <v>September</v>
      </c>
      <c r="D692">
        <f t="shared" si="92"/>
        <v>2024</v>
      </c>
      <c r="E692" s="3">
        <v>45550</v>
      </c>
      <c r="F692">
        <f t="shared" si="90"/>
        <v>4</v>
      </c>
      <c r="G692" t="s">
        <v>2151</v>
      </c>
      <c r="H692" t="s">
        <v>132</v>
      </c>
      <c r="I692" t="s">
        <v>90</v>
      </c>
      <c r="J692" t="s">
        <v>54</v>
      </c>
      <c r="K692" t="s">
        <v>247</v>
      </c>
      <c r="L692" t="s">
        <v>248</v>
      </c>
      <c r="M692" t="s">
        <v>28</v>
      </c>
      <c r="N692" t="s">
        <v>48</v>
      </c>
      <c r="O692" t="s">
        <v>2152</v>
      </c>
      <c r="P692" t="s">
        <v>59</v>
      </c>
      <c r="Q692">
        <v>4</v>
      </c>
      <c r="R692">
        <v>865.63</v>
      </c>
      <c r="S692" s="6">
        <v>0</v>
      </c>
      <c r="T692" s="6">
        <f t="shared" si="93"/>
        <v>0</v>
      </c>
      <c r="U692">
        <v>3462.52</v>
      </c>
      <c r="V692">
        <f t="shared" si="94"/>
        <v>3462.52</v>
      </c>
      <c r="W692" s="6">
        <f t="shared" si="95"/>
        <v>0</v>
      </c>
      <c r="X692">
        <v>2797.29</v>
      </c>
      <c r="Y692">
        <v>665.23</v>
      </c>
      <c r="Z692">
        <f t="shared" si="96"/>
        <v>665.23</v>
      </c>
      <c r="AA692" s="6">
        <f t="shared" si="97"/>
        <v>0</v>
      </c>
      <c r="AB692">
        <f t="shared" si="98"/>
        <v>0.19212307798944123</v>
      </c>
      <c r="AC692" t="s">
        <v>155</v>
      </c>
      <c r="AD692" t="s">
        <v>103</v>
      </c>
      <c r="AE692" t="s">
        <v>2827</v>
      </c>
      <c r="AF692" s="10" t="s">
        <v>2821</v>
      </c>
    </row>
    <row r="693" spans="1:32">
      <c r="A693" t="s">
        <v>2153</v>
      </c>
      <c r="B693" s="3">
        <v>45641</v>
      </c>
      <c r="C693" t="str">
        <f t="shared" si="91"/>
        <v>December</v>
      </c>
      <c r="D693">
        <f t="shared" si="92"/>
        <v>2024</v>
      </c>
      <c r="E693" s="3">
        <v>45642</v>
      </c>
      <c r="F693">
        <f t="shared" si="90"/>
        <v>1</v>
      </c>
      <c r="G693" t="s">
        <v>2154</v>
      </c>
      <c r="H693" t="s">
        <v>141</v>
      </c>
      <c r="I693" t="s">
        <v>24</v>
      </c>
      <c r="J693" t="s">
        <v>38</v>
      </c>
      <c r="K693" t="s">
        <v>39</v>
      </c>
      <c r="L693" t="s">
        <v>40</v>
      </c>
      <c r="M693" t="s">
        <v>74</v>
      </c>
      <c r="N693" t="s">
        <v>80</v>
      </c>
      <c r="O693" t="s">
        <v>2155</v>
      </c>
      <c r="P693" t="s">
        <v>31</v>
      </c>
      <c r="Q693">
        <v>6</v>
      </c>
      <c r="R693">
        <v>1538.1</v>
      </c>
      <c r="S693" s="6">
        <v>0.05</v>
      </c>
      <c r="T693" s="6">
        <f t="shared" si="93"/>
        <v>0.05</v>
      </c>
      <c r="U693">
        <v>8767.17</v>
      </c>
      <c r="V693">
        <f t="shared" si="94"/>
        <v>8767.1699999999983</v>
      </c>
      <c r="W693" s="6">
        <f t="shared" si="95"/>
        <v>0</v>
      </c>
      <c r="X693">
        <v>5098.2</v>
      </c>
      <c r="Y693">
        <v>3668.97</v>
      </c>
      <c r="Z693">
        <f t="shared" si="96"/>
        <v>3668.9699999999984</v>
      </c>
      <c r="AA693" s="6">
        <f t="shared" si="97"/>
        <v>0</v>
      </c>
      <c r="AB693">
        <f t="shared" si="98"/>
        <v>0.41848966085977563</v>
      </c>
      <c r="AC693" t="s">
        <v>32</v>
      </c>
      <c r="AD693" t="s">
        <v>33</v>
      </c>
      <c r="AE693" t="s">
        <v>2828</v>
      </c>
    </row>
    <row r="694" spans="1:32">
      <c r="A694" t="s">
        <v>2156</v>
      </c>
      <c r="B694" s="3">
        <v>45787</v>
      </c>
      <c r="C694" t="str">
        <f t="shared" si="91"/>
        <v>May</v>
      </c>
      <c r="D694">
        <f t="shared" si="92"/>
        <v>2025</v>
      </c>
      <c r="E694" s="3">
        <v>45940</v>
      </c>
      <c r="F694">
        <f t="shared" si="90"/>
        <v>153</v>
      </c>
      <c r="G694" t="s">
        <v>2157</v>
      </c>
      <c r="H694" t="s">
        <v>47</v>
      </c>
      <c r="I694" t="s">
        <v>90</v>
      </c>
      <c r="J694" t="s">
        <v>54</v>
      </c>
      <c r="K694" t="s">
        <v>175</v>
      </c>
      <c r="L694" t="s">
        <v>176</v>
      </c>
      <c r="M694" t="s">
        <v>41</v>
      </c>
      <c r="N694" t="s">
        <v>57</v>
      </c>
      <c r="O694" t="s">
        <v>2158</v>
      </c>
      <c r="P694" t="s">
        <v>31</v>
      </c>
      <c r="Q694">
        <v>4</v>
      </c>
      <c r="R694">
        <v>2365.6799999999998</v>
      </c>
      <c r="S694" s="6">
        <v>0.1</v>
      </c>
      <c r="T694" s="6">
        <f t="shared" si="93"/>
        <v>0.1</v>
      </c>
      <c r="U694">
        <v>8516.4500000000007</v>
      </c>
      <c r="V694">
        <f t="shared" si="94"/>
        <v>8516.4480000000003</v>
      </c>
      <c r="W694" s="6">
        <f t="shared" si="95"/>
        <v>-2.0000000004074536E-3</v>
      </c>
      <c r="X694">
        <v>5903.81</v>
      </c>
      <c r="Y694">
        <v>2612.64</v>
      </c>
      <c r="Z694">
        <f t="shared" si="96"/>
        <v>2612.6379999999999</v>
      </c>
      <c r="AA694" s="6">
        <f t="shared" si="97"/>
        <v>-1.9999999999527063E-3</v>
      </c>
      <c r="AB694">
        <f t="shared" si="98"/>
        <v>0.30677554774009069</v>
      </c>
      <c r="AC694" t="s">
        <v>32</v>
      </c>
      <c r="AD694" t="s">
        <v>33</v>
      </c>
      <c r="AE694" t="s">
        <v>2828</v>
      </c>
    </row>
    <row r="695" spans="1:32">
      <c r="A695" t="s">
        <v>2159</v>
      </c>
      <c r="B695" s="3">
        <v>45720</v>
      </c>
      <c r="C695" t="str">
        <f t="shared" si="91"/>
        <v>March</v>
      </c>
      <c r="D695">
        <f t="shared" si="92"/>
        <v>2025</v>
      </c>
      <c r="E695" s="3">
        <v>45965</v>
      </c>
      <c r="F695">
        <f t="shared" si="90"/>
        <v>245</v>
      </c>
      <c r="G695" t="s">
        <v>2160</v>
      </c>
      <c r="H695" t="s">
        <v>53</v>
      </c>
      <c r="I695" t="s">
        <v>24</v>
      </c>
      <c r="J695" t="s">
        <v>54</v>
      </c>
      <c r="K695" t="s">
        <v>247</v>
      </c>
      <c r="L695" t="s">
        <v>248</v>
      </c>
      <c r="M695" t="s">
        <v>41</v>
      </c>
      <c r="N695" t="s">
        <v>158</v>
      </c>
      <c r="O695" t="s">
        <v>2161</v>
      </c>
      <c r="P695" t="s">
        <v>31</v>
      </c>
      <c r="Q695">
        <v>3</v>
      </c>
      <c r="R695">
        <v>4149.7700000000004</v>
      </c>
      <c r="S695" s="6">
        <v>0.05</v>
      </c>
      <c r="T695" s="6">
        <f t="shared" si="93"/>
        <v>0.05</v>
      </c>
      <c r="U695">
        <v>11826.84</v>
      </c>
      <c r="V695">
        <f t="shared" si="94"/>
        <v>11826.844500000001</v>
      </c>
      <c r="W695" s="6">
        <f t="shared" si="95"/>
        <v>4.5000000009167707E-3</v>
      </c>
      <c r="X695">
        <v>8035.96</v>
      </c>
      <c r="Y695">
        <v>3790.88</v>
      </c>
      <c r="Z695">
        <f t="shared" si="96"/>
        <v>3790.884500000001</v>
      </c>
      <c r="AA695" s="6">
        <f t="shared" si="97"/>
        <v>4.5000000009167707E-3</v>
      </c>
      <c r="AB695">
        <f t="shared" si="98"/>
        <v>0.32053220112938835</v>
      </c>
      <c r="AC695" t="s">
        <v>32</v>
      </c>
      <c r="AD695" t="s">
        <v>33</v>
      </c>
      <c r="AE695" t="s">
        <v>2828</v>
      </c>
    </row>
    <row r="696" spans="1:32">
      <c r="A696" t="s">
        <v>2162</v>
      </c>
      <c r="B696" s="3">
        <v>45665</v>
      </c>
      <c r="C696" t="str">
        <f t="shared" si="91"/>
        <v>January</v>
      </c>
      <c r="D696">
        <f t="shared" si="92"/>
        <v>2025</v>
      </c>
      <c r="E696" s="3">
        <v>45908</v>
      </c>
      <c r="F696">
        <f t="shared" si="90"/>
        <v>243</v>
      </c>
      <c r="G696" t="s">
        <v>1135</v>
      </c>
      <c r="H696" t="s">
        <v>47</v>
      </c>
      <c r="I696" t="s">
        <v>24</v>
      </c>
      <c r="J696" t="s">
        <v>54</v>
      </c>
      <c r="K696" t="s">
        <v>84</v>
      </c>
      <c r="L696" t="s">
        <v>85</v>
      </c>
      <c r="M696" t="s">
        <v>28</v>
      </c>
      <c r="N696" t="s">
        <v>124</v>
      </c>
      <c r="O696" t="s">
        <v>2163</v>
      </c>
      <c r="P696" t="s">
        <v>50</v>
      </c>
      <c r="Q696">
        <v>5</v>
      </c>
      <c r="R696">
        <v>2736.24</v>
      </c>
      <c r="S696" s="6">
        <v>0.15</v>
      </c>
      <c r="T696" s="6">
        <f t="shared" si="93"/>
        <v>0.15</v>
      </c>
      <c r="U696">
        <v>11629.02</v>
      </c>
      <c r="V696">
        <f t="shared" si="94"/>
        <v>11629.019999999999</v>
      </c>
      <c r="W696" s="6">
        <f t="shared" si="95"/>
        <v>0</v>
      </c>
      <c r="X696">
        <v>9627.2099999999991</v>
      </c>
      <c r="Y696">
        <v>2001.81</v>
      </c>
      <c r="Z696">
        <f t="shared" si="96"/>
        <v>2001.8099999999995</v>
      </c>
      <c r="AA696" s="6">
        <f t="shared" si="97"/>
        <v>0</v>
      </c>
      <c r="AB696">
        <f t="shared" si="98"/>
        <v>0.17213918283741877</v>
      </c>
      <c r="AC696" t="s">
        <v>32</v>
      </c>
      <c r="AD696" t="s">
        <v>33</v>
      </c>
      <c r="AE696" t="s">
        <v>2828</v>
      </c>
    </row>
    <row r="697" spans="1:32">
      <c r="A697" t="s">
        <v>2164</v>
      </c>
      <c r="B697" s="3">
        <v>45298</v>
      </c>
      <c r="C697" t="str">
        <f t="shared" si="91"/>
        <v>January</v>
      </c>
      <c r="D697">
        <f t="shared" si="92"/>
        <v>2024</v>
      </c>
      <c r="E697" s="3">
        <v>45298</v>
      </c>
      <c r="F697">
        <f t="shared" si="90"/>
        <v>0</v>
      </c>
      <c r="G697" t="s">
        <v>2165</v>
      </c>
      <c r="H697" t="s">
        <v>128</v>
      </c>
      <c r="I697" t="s">
        <v>24</v>
      </c>
      <c r="J697" t="s">
        <v>63</v>
      </c>
      <c r="K697" t="s">
        <v>72</v>
      </c>
      <c r="L697" t="s">
        <v>73</v>
      </c>
      <c r="M697" t="s">
        <v>74</v>
      </c>
      <c r="N697" t="s">
        <v>274</v>
      </c>
      <c r="O697" t="s">
        <v>2166</v>
      </c>
      <c r="P697" t="s">
        <v>59</v>
      </c>
      <c r="Q697">
        <v>4</v>
      </c>
      <c r="R697">
        <v>257.39</v>
      </c>
      <c r="S697" s="6">
        <v>0</v>
      </c>
      <c r="T697" s="6">
        <f t="shared" si="93"/>
        <v>0</v>
      </c>
      <c r="U697">
        <v>1029.56</v>
      </c>
      <c r="V697">
        <f t="shared" si="94"/>
        <v>1029.56</v>
      </c>
      <c r="W697" s="6">
        <f t="shared" si="95"/>
        <v>0</v>
      </c>
      <c r="X697">
        <v>626.33000000000004</v>
      </c>
      <c r="Y697">
        <v>403.23</v>
      </c>
      <c r="Z697">
        <f t="shared" si="96"/>
        <v>403.2299999999999</v>
      </c>
      <c r="AA697" s="6">
        <f t="shared" si="97"/>
        <v>0</v>
      </c>
      <c r="AB697">
        <f t="shared" si="98"/>
        <v>0.39165274486188267</v>
      </c>
      <c r="AC697" t="s">
        <v>32</v>
      </c>
      <c r="AD697" t="s">
        <v>33</v>
      </c>
      <c r="AE697" t="s">
        <v>2828</v>
      </c>
    </row>
    <row r="698" spans="1:32">
      <c r="A698" t="s">
        <v>2167</v>
      </c>
      <c r="B698" s="3">
        <v>45922</v>
      </c>
      <c r="C698" t="str">
        <f t="shared" si="91"/>
        <v>September</v>
      </c>
      <c r="D698">
        <f t="shared" si="92"/>
        <v>2025</v>
      </c>
      <c r="E698" s="3">
        <v>45925</v>
      </c>
      <c r="F698">
        <f t="shared" si="90"/>
        <v>3</v>
      </c>
      <c r="G698" t="s">
        <v>2168</v>
      </c>
      <c r="H698" t="s">
        <v>47</v>
      </c>
      <c r="I698" t="s">
        <v>37</v>
      </c>
      <c r="J698" t="s">
        <v>54</v>
      </c>
      <c r="K698" t="s">
        <v>185</v>
      </c>
      <c r="L698" t="s">
        <v>186</v>
      </c>
      <c r="M698" t="s">
        <v>74</v>
      </c>
      <c r="N698" t="s">
        <v>171</v>
      </c>
      <c r="O698" t="s">
        <v>2169</v>
      </c>
      <c r="P698" t="s">
        <v>2781</v>
      </c>
      <c r="Q698">
        <v>4</v>
      </c>
      <c r="R698">
        <v>1178.8399999999999</v>
      </c>
      <c r="S698" s="6">
        <v>0.25</v>
      </c>
      <c r="T698" s="6">
        <f t="shared" si="93"/>
        <v>0.25</v>
      </c>
      <c r="U698">
        <v>3536.52</v>
      </c>
      <c r="V698">
        <f t="shared" si="94"/>
        <v>3536.5199999999995</v>
      </c>
      <c r="W698" s="6">
        <f t="shared" si="95"/>
        <v>0</v>
      </c>
      <c r="X698">
        <v>2102.41</v>
      </c>
      <c r="Y698">
        <v>1363.28</v>
      </c>
      <c r="Z698">
        <f t="shared" si="96"/>
        <v>1434.1099999999997</v>
      </c>
      <c r="AA698" s="6">
        <f t="shared" si="97"/>
        <v>70.8299999999997</v>
      </c>
      <c r="AB698">
        <f t="shared" si="98"/>
        <v>0.40551446054313278</v>
      </c>
      <c r="AC698" t="s">
        <v>32</v>
      </c>
      <c r="AD698" t="s">
        <v>33</v>
      </c>
      <c r="AE698" t="s">
        <v>2827</v>
      </c>
      <c r="AF698" t="s">
        <v>2829</v>
      </c>
    </row>
    <row r="699" spans="1:32">
      <c r="A699" t="s">
        <v>2170</v>
      </c>
      <c r="B699" s="3">
        <v>45717</v>
      </c>
      <c r="C699" t="str">
        <f t="shared" si="91"/>
        <v>March</v>
      </c>
      <c r="D699">
        <f t="shared" si="92"/>
        <v>2025</v>
      </c>
      <c r="E699" s="3">
        <v>45841</v>
      </c>
      <c r="F699">
        <f t="shared" si="90"/>
        <v>124</v>
      </c>
      <c r="G699" t="s">
        <v>2171</v>
      </c>
      <c r="H699" t="s">
        <v>53</v>
      </c>
      <c r="I699" t="s">
        <v>90</v>
      </c>
      <c r="J699" t="s">
        <v>54</v>
      </c>
      <c r="K699" t="s">
        <v>84</v>
      </c>
      <c r="L699" t="s">
        <v>85</v>
      </c>
      <c r="M699" t="s">
        <v>28</v>
      </c>
      <c r="N699" t="s">
        <v>91</v>
      </c>
      <c r="O699" t="s">
        <v>2172</v>
      </c>
      <c r="P699" t="s">
        <v>50</v>
      </c>
      <c r="Q699">
        <v>7</v>
      </c>
      <c r="R699">
        <v>567.15</v>
      </c>
      <c r="S699" s="6">
        <v>0</v>
      </c>
      <c r="T699" s="6">
        <f t="shared" si="93"/>
        <v>0</v>
      </c>
      <c r="U699">
        <v>2977.54</v>
      </c>
      <c r="V699">
        <f t="shared" si="94"/>
        <v>3970.0499999999997</v>
      </c>
      <c r="W699" s="6">
        <f t="shared" si="95"/>
        <v>992.50999999999976</v>
      </c>
      <c r="X699">
        <v>1849.3</v>
      </c>
      <c r="Y699">
        <v>1128.24</v>
      </c>
      <c r="Z699">
        <f t="shared" si="96"/>
        <v>2120.75</v>
      </c>
      <c r="AA699" s="6">
        <f t="shared" si="97"/>
        <v>992.51</v>
      </c>
      <c r="AB699">
        <f t="shared" si="98"/>
        <v>0.53418722686112274</v>
      </c>
      <c r="AC699" t="s">
        <v>102</v>
      </c>
      <c r="AD699" t="s">
        <v>103</v>
      </c>
      <c r="AE699" t="s">
        <v>2827</v>
      </c>
      <c r="AF699" t="s">
        <v>2807</v>
      </c>
    </row>
    <row r="700" spans="1:32">
      <c r="A700" t="s">
        <v>2173</v>
      </c>
      <c r="B700" s="3">
        <v>45549</v>
      </c>
      <c r="C700" t="str">
        <f t="shared" si="91"/>
        <v>September</v>
      </c>
      <c r="D700">
        <f t="shared" si="92"/>
        <v>2024</v>
      </c>
      <c r="E700" s="3">
        <v>45549</v>
      </c>
      <c r="F700">
        <f t="shared" si="90"/>
        <v>0</v>
      </c>
      <c r="G700" t="s">
        <v>2174</v>
      </c>
      <c r="H700" t="s">
        <v>36</v>
      </c>
      <c r="I700" t="s">
        <v>90</v>
      </c>
      <c r="J700" t="s">
        <v>25</v>
      </c>
      <c r="K700" t="s">
        <v>26</v>
      </c>
      <c r="L700" t="s">
        <v>27</v>
      </c>
      <c r="M700" t="s">
        <v>74</v>
      </c>
      <c r="N700" t="s">
        <v>274</v>
      </c>
      <c r="O700" t="s">
        <v>2175</v>
      </c>
      <c r="P700" t="s">
        <v>59</v>
      </c>
      <c r="Q700">
        <v>8</v>
      </c>
      <c r="R700">
        <v>4081.66</v>
      </c>
      <c r="S700" s="6">
        <v>0.15</v>
      </c>
      <c r="T700" s="6">
        <f t="shared" si="93"/>
        <v>0.15</v>
      </c>
      <c r="U700">
        <v>28208.1</v>
      </c>
      <c r="V700">
        <f t="shared" si="94"/>
        <v>27755.287999999997</v>
      </c>
      <c r="W700" s="6">
        <f t="shared" si="95"/>
        <v>-452.81200000000172</v>
      </c>
      <c r="X700">
        <v>23751.91</v>
      </c>
      <c r="Y700">
        <v>4003.38</v>
      </c>
      <c r="Z700">
        <f t="shared" si="96"/>
        <v>4003.377999999997</v>
      </c>
      <c r="AA700" s="6">
        <f t="shared" si="97"/>
        <v>-2.0000000031359377E-3</v>
      </c>
      <c r="AB700">
        <f t="shared" si="98"/>
        <v>0.14423838801456493</v>
      </c>
      <c r="AC700" t="s">
        <v>32</v>
      </c>
      <c r="AD700" t="s">
        <v>103</v>
      </c>
      <c r="AE700" t="s">
        <v>2827</v>
      </c>
      <c r="AF700" t="s">
        <v>103</v>
      </c>
    </row>
    <row r="701" spans="1:32">
      <c r="A701" t="s">
        <v>2176</v>
      </c>
      <c r="B701" s="3">
        <v>45602</v>
      </c>
      <c r="C701" t="str">
        <f t="shared" si="91"/>
        <v>November</v>
      </c>
      <c r="D701">
        <f t="shared" si="92"/>
        <v>2024</v>
      </c>
      <c r="E701" s="3">
        <v>45602</v>
      </c>
      <c r="F701">
        <f t="shared" si="90"/>
        <v>0</v>
      </c>
      <c r="G701" t="s">
        <v>2177</v>
      </c>
      <c r="H701" t="s">
        <v>53</v>
      </c>
      <c r="I701" t="s">
        <v>37</v>
      </c>
      <c r="J701" t="s">
        <v>54</v>
      </c>
      <c r="K701" t="s">
        <v>175</v>
      </c>
      <c r="L701" t="s">
        <v>176</v>
      </c>
      <c r="M701" t="s">
        <v>41</v>
      </c>
      <c r="N701" t="s">
        <v>158</v>
      </c>
      <c r="O701" t="s">
        <v>2178</v>
      </c>
      <c r="P701" t="s">
        <v>59</v>
      </c>
      <c r="Q701">
        <v>9</v>
      </c>
      <c r="R701">
        <v>1400.11</v>
      </c>
      <c r="S701" s="6">
        <v>0.25</v>
      </c>
      <c r="T701" s="6">
        <f t="shared" si="93"/>
        <v>0.25</v>
      </c>
      <c r="U701">
        <v>9450.74</v>
      </c>
      <c r="V701">
        <f t="shared" si="94"/>
        <v>9450.7425000000003</v>
      </c>
      <c r="W701" s="6">
        <f t="shared" si="95"/>
        <v>2.500000000509317E-3</v>
      </c>
      <c r="X701">
        <v>7798.56</v>
      </c>
      <c r="Y701">
        <v>1652.18</v>
      </c>
      <c r="Z701">
        <f t="shared" si="96"/>
        <v>1652.1824999999999</v>
      </c>
      <c r="AA701" s="6">
        <f t="shared" si="97"/>
        <v>2.499999999827196E-3</v>
      </c>
      <c r="AB701">
        <f t="shared" si="98"/>
        <v>0.17482039109625511</v>
      </c>
      <c r="AC701" t="s">
        <v>32</v>
      </c>
      <c r="AD701" t="s">
        <v>33</v>
      </c>
      <c r="AE701" t="s">
        <v>2828</v>
      </c>
    </row>
    <row r="702" spans="1:32">
      <c r="A702" t="s">
        <v>2179</v>
      </c>
      <c r="B702" s="3">
        <v>45553</v>
      </c>
      <c r="C702" t="str">
        <f t="shared" si="91"/>
        <v>September</v>
      </c>
      <c r="D702">
        <f t="shared" si="92"/>
        <v>2024</v>
      </c>
      <c r="E702" s="3">
        <v>45556</v>
      </c>
      <c r="F702">
        <f t="shared" si="90"/>
        <v>3</v>
      </c>
      <c r="G702" t="s">
        <v>2180</v>
      </c>
      <c r="H702" t="s">
        <v>79</v>
      </c>
      <c r="I702" t="s">
        <v>90</v>
      </c>
      <c r="J702" t="s">
        <v>38</v>
      </c>
      <c r="K702" t="s">
        <v>99</v>
      </c>
      <c r="L702" t="s">
        <v>100</v>
      </c>
      <c r="M702" t="s">
        <v>74</v>
      </c>
      <c r="N702" t="s">
        <v>274</v>
      </c>
      <c r="O702" t="s">
        <v>2181</v>
      </c>
      <c r="P702" t="s">
        <v>59</v>
      </c>
      <c r="Q702">
        <v>3</v>
      </c>
      <c r="R702">
        <v>3055.9</v>
      </c>
      <c r="S702" s="6">
        <v>0.15</v>
      </c>
      <c r="T702" s="6">
        <f t="shared" si="93"/>
        <v>0.15</v>
      </c>
      <c r="U702">
        <v>7792.55</v>
      </c>
      <c r="V702">
        <f t="shared" si="94"/>
        <v>7792.5450000000001</v>
      </c>
      <c r="W702" s="6">
        <f t="shared" si="95"/>
        <v>-5.0000000001091394E-3</v>
      </c>
      <c r="X702">
        <v>4691.7299999999996</v>
      </c>
      <c r="Y702">
        <v>3100.82</v>
      </c>
      <c r="Z702">
        <f t="shared" si="96"/>
        <v>3100.8150000000005</v>
      </c>
      <c r="AA702" s="6">
        <f t="shared" si="97"/>
        <v>-4.999999999654392E-3</v>
      </c>
      <c r="AB702">
        <f t="shared" si="98"/>
        <v>0.39792070498149201</v>
      </c>
      <c r="AC702" t="s">
        <v>32</v>
      </c>
      <c r="AD702" t="s">
        <v>33</v>
      </c>
      <c r="AE702" t="s">
        <v>2828</v>
      </c>
    </row>
    <row r="703" spans="1:32">
      <c r="A703" t="s">
        <v>2182</v>
      </c>
      <c r="B703" s="3">
        <v>45412</v>
      </c>
      <c r="C703" t="str">
        <f t="shared" si="91"/>
        <v>April</v>
      </c>
      <c r="D703">
        <f t="shared" si="92"/>
        <v>2024</v>
      </c>
      <c r="E703" s="3">
        <v>45387</v>
      </c>
      <c r="F703">
        <f t="shared" si="90"/>
        <v>-25</v>
      </c>
      <c r="G703" t="s">
        <v>2183</v>
      </c>
      <c r="H703" t="s">
        <v>141</v>
      </c>
      <c r="I703" t="s">
        <v>37</v>
      </c>
      <c r="J703" t="s">
        <v>63</v>
      </c>
      <c r="K703" t="s">
        <v>180</v>
      </c>
      <c r="L703" t="s">
        <v>181</v>
      </c>
      <c r="M703" t="s">
        <v>28</v>
      </c>
      <c r="N703" t="s">
        <v>48</v>
      </c>
      <c r="O703" t="s">
        <v>2184</v>
      </c>
      <c r="P703" t="s">
        <v>44</v>
      </c>
      <c r="Q703">
        <v>7</v>
      </c>
      <c r="R703">
        <v>1224.94</v>
      </c>
      <c r="S703" s="6">
        <v>0</v>
      </c>
      <c r="T703" s="6">
        <f t="shared" si="93"/>
        <v>0</v>
      </c>
      <c r="U703">
        <v>8574.58</v>
      </c>
      <c r="V703">
        <f t="shared" si="94"/>
        <v>8574.58</v>
      </c>
      <c r="W703" s="6">
        <f t="shared" si="95"/>
        <v>0</v>
      </c>
      <c r="X703">
        <v>6685.81</v>
      </c>
      <c r="Y703">
        <v>1888.77</v>
      </c>
      <c r="Z703">
        <f t="shared" si="96"/>
        <v>1888.7699999999995</v>
      </c>
      <c r="AA703" s="6">
        <f t="shared" si="97"/>
        <v>0</v>
      </c>
      <c r="AB703">
        <f t="shared" si="98"/>
        <v>0.22027551203674112</v>
      </c>
      <c r="AC703" t="s">
        <v>32</v>
      </c>
      <c r="AD703" t="s">
        <v>103</v>
      </c>
      <c r="AE703" t="s">
        <v>2826</v>
      </c>
      <c r="AF703" s="10" t="s">
        <v>2818</v>
      </c>
    </row>
    <row r="704" spans="1:32">
      <c r="A704" t="s">
        <v>2185</v>
      </c>
      <c r="B704" s="3">
        <v>45690</v>
      </c>
      <c r="C704" t="str">
        <f t="shared" si="91"/>
        <v>February</v>
      </c>
      <c r="D704">
        <f t="shared" si="92"/>
        <v>2025</v>
      </c>
      <c r="E704" s="3">
        <v>45694</v>
      </c>
      <c r="F704">
        <f t="shared" si="90"/>
        <v>4</v>
      </c>
      <c r="G704" t="s">
        <v>2186</v>
      </c>
      <c r="H704" t="s">
        <v>23</v>
      </c>
      <c r="I704" t="s">
        <v>37</v>
      </c>
      <c r="J704" t="s">
        <v>63</v>
      </c>
      <c r="K704" t="s">
        <v>26</v>
      </c>
      <c r="L704" t="s">
        <v>109</v>
      </c>
      <c r="M704" t="s">
        <v>41</v>
      </c>
      <c r="N704" t="s">
        <v>42</v>
      </c>
      <c r="O704" t="s">
        <v>2187</v>
      </c>
      <c r="P704" t="s">
        <v>31</v>
      </c>
      <c r="Q704">
        <v>3</v>
      </c>
      <c r="R704">
        <v>997.34</v>
      </c>
      <c r="S704" s="6">
        <v>0.1</v>
      </c>
      <c r="T704" s="6">
        <f t="shared" si="93"/>
        <v>0.1</v>
      </c>
      <c r="U704">
        <v>2692.82</v>
      </c>
      <c r="V704">
        <f t="shared" si="94"/>
        <v>2692.8180000000002</v>
      </c>
      <c r="W704" s="6">
        <f t="shared" si="95"/>
        <v>-1.9999999999527063E-3</v>
      </c>
      <c r="X704">
        <v>1820.08</v>
      </c>
      <c r="Y704">
        <v>872.74</v>
      </c>
      <c r="Z704">
        <f t="shared" si="96"/>
        <v>872.73800000000028</v>
      </c>
      <c r="AA704" s="6">
        <f t="shared" si="97"/>
        <v>-1.9999999997253326E-3</v>
      </c>
      <c r="AB704">
        <f t="shared" si="98"/>
        <v>0.32409839803506968</v>
      </c>
      <c r="AC704" t="s">
        <v>32</v>
      </c>
      <c r="AD704" t="s">
        <v>33</v>
      </c>
      <c r="AE704" t="s">
        <v>2828</v>
      </c>
    </row>
    <row r="705" spans="1:32">
      <c r="A705" t="s">
        <v>2188</v>
      </c>
      <c r="B705" s="3">
        <v>45584</v>
      </c>
      <c r="C705" t="str">
        <f t="shared" si="91"/>
        <v>October</v>
      </c>
      <c r="D705">
        <f t="shared" si="92"/>
        <v>2024</v>
      </c>
      <c r="E705" s="3">
        <v>45585</v>
      </c>
      <c r="F705">
        <f t="shared" si="90"/>
        <v>1</v>
      </c>
      <c r="G705" t="s">
        <v>2189</v>
      </c>
      <c r="H705" t="s">
        <v>89</v>
      </c>
      <c r="I705" t="s">
        <v>90</v>
      </c>
      <c r="J705" t="s">
        <v>25</v>
      </c>
      <c r="K705" t="s">
        <v>26</v>
      </c>
      <c r="L705" t="s">
        <v>27</v>
      </c>
      <c r="M705" t="s">
        <v>41</v>
      </c>
      <c r="N705" t="s">
        <v>42</v>
      </c>
      <c r="O705" t="s">
        <v>2190</v>
      </c>
      <c r="P705" t="s">
        <v>50</v>
      </c>
      <c r="Q705">
        <v>1</v>
      </c>
      <c r="R705">
        <v>1150.03</v>
      </c>
      <c r="S705" s="6">
        <v>0.1</v>
      </c>
      <c r="T705" s="6">
        <f t="shared" si="93"/>
        <v>0.1</v>
      </c>
      <c r="U705">
        <v>1035.03</v>
      </c>
      <c r="V705">
        <f t="shared" si="94"/>
        <v>1035.027</v>
      </c>
      <c r="W705" s="6">
        <f t="shared" si="95"/>
        <v>-2.9999999999290594E-3</v>
      </c>
      <c r="X705">
        <v>854.35</v>
      </c>
      <c r="Y705">
        <v>180.68</v>
      </c>
      <c r="Z705">
        <f t="shared" si="96"/>
        <v>180.67700000000002</v>
      </c>
      <c r="AA705" s="6">
        <f t="shared" si="97"/>
        <v>-2.9999999999859028E-3</v>
      </c>
      <c r="AB705">
        <f t="shared" si="98"/>
        <v>0.1745625959516032</v>
      </c>
      <c r="AC705" t="s">
        <v>32</v>
      </c>
      <c r="AD705" t="s">
        <v>33</v>
      </c>
      <c r="AE705" t="s">
        <v>2828</v>
      </c>
    </row>
    <row r="706" spans="1:32">
      <c r="A706" t="s">
        <v>2191</v>
      </c>
      <c r="B706" s="3">
        <v>45364</v>
      </c>
      <c r="C706" t="str">
        <f t="shared" si="91"/>
        <v>March</v>
      </c>
      <c r="D706">
        <f t="shared" si="92"/>
        <v>2024</v>
      </c>
      <c r="E706" s="3">
        <v>45371</v>
      </c>
      <c r="F706">
        <f t="shared" ref="F706:F769" si="99">E706-B706</f>
        <v>7</v>
      </c>
      <c r="G706" t="s">
        <v>2192</v>
      </c>
      <c r="H706" t="s">
        <v>114</v>
      </c>
      <c r="I706" t="s">
        <v>95</v>
      </c>
      <c r="J706" t="s">
        <v>54</v>
      </c>
      <c r="K706" t="s">
        <v>247</v>
      </c>
      <c r="L706" t="s">
        <v>248</v>
      </c>
      <c r="M706" t="s">
        <v>41</v>
      </c>
      <c r="N706" t="s">
        <v>158</v>
      </c>
      <c r="O706" t="s">
        <v>2193</v>
      </c>
      <c r="P706" t="s">
        <v>2781</v>
      </c>
      <c r="Q706">
        <v>1</v>
      </c>
      <c r="R706">
        <v>2825.63</v>
      </c>
      <c r="S706" s="6">
        <v>0.15</v>
      </c>
      <c r="T706" s="6">
        <f t="shared" si="93"/>
        <v>0.15</v>
      </c>
      <c r="U706">
        <v>2401.79</v>
      </c>
      <c r="V706">
        <f t="shared" si="94"/>
        <v>2401.7855</v>
      </c>
      <c r="W706" s="6">
        <f t="shared" si="95"/>
        <v>-4.500000000007276E-3</v>
      </c>
      <c r="X706">
        <v>1820.34</v>
      </c>
      <c r="Y706">
        <v>581.45000000000005</v>
      </c>
      <c r="Z706">
        <f t="shared" si="96"/>
        <v>581.44550000000004</v>
      </c>
      <c r="AA706" s="6">
        <f t="shared" si="97"/>
        <v>-4.500000000007276E-3</v>
      </c>
      <c r="AB706">
        <f t="shared" si="98"/>
        <v>0.24208885431276025</v>
      </c>
      <c r="AC706" t="s">
        <v>32</v>
      </c>
      <c r="AD706" t="s">
        <v>33</v>
      </c>
      <c r="AE706" t="s">
        <v>2827</v>
      </c>
      <c r="AF706" t="s">
        <v>2829</v>
      </c>
    </row>
    <row r="707" spans="1:32">
      <c r="A707" t="s">
        <v>2194</v>
      </c>
      <c r="B707" s="3">
        <v>45513</v>
      </c>
      <c r="C707" t="str">
        <f t="shared" ref="C707:C770" si="100">TEXT(B707, "mmmm")</f>
        <v>August</v>
      </c>
      <c r="D707">
        <f t="shared" ref="D707:D770" si="101">YEAR(B707)</f>
        <v>2024</v>
      </c>
      <c r="E707" s="3">
        <v>45549</v>
      </c>
      <c r="F707">
        <f t="shared" si="99"/>
        <v>36</v>
      </c>
      <c r="G707" t="s">
        <v>2195</v>
      </c>
      <c r="H707" t="s">
        <v>141</v>
      </c>
      <c r="I707" t="s">
        <v>24</v>
      </c>
      <c r="J707" t="s">
        <v>25</v>
      </c>
      <c r="K707" t="s">
        <v>26</v>
      </c>
      <c r="L707" t="s">
        <v>27</v>
      </c>
      <c r="M707" t="s">
        <v>28</v>
      </c>
      <c r="N707" t="s">
        <v>153</v>
      </c>
      <c r="O707" t="s">
        <v>2196</v>
      </c>
      <c r="P707" t="s">
        <v>59</v>
      </c>
      <c r="Q707">
        <v>5</v>
      </c>
      <c r="R707">
        <v>3371.75</v>
      </c>
      <c r="S707" s="6">
        <v>0.05</v>
      </c>
      <c r="T707" s="6">
        <f t="shared" ref="T707:T770" si="102">ABS(S707)</f>
        <v>0.05</v>
      </c>
      <c r="U707">
        <v>16015.81</v>
      </c>
      <c r="V707">
        <f t="shared" ref="V707:V770" si="103">Q707*R707*(1-T707)</f>
        <v>16015.8125</v>
      </c>
      <c r="W707" s="6">
        <f t="shared" ref="W707:W770" si="104">V707-U707</f>
        <v>2.500000000509317E-3</v>
      </c>
      <c r="X707">
        <v>11352.38</v>
      </c>
      <c r="Y707">
        <v>4663.43</v>
      </c>
      <c r="Z707">
        <f t="shared" ref="Z707:Z770" si="105">V707-X707</f>
        <v>4663.4325000000008</v>
      </c>
      <c r="AA707" s="6">
        <f t="shared" ref="AA707:AA770" si="106">Z707-Y707</f>
        <v>2.500000000509317E-3</v>
      </c>
      <c r="AB707">
        <f t="shared" ref="AB707:AB770" si="107">Z707/V707</f>
        <v>0.29117676671102394</v>
      </c>
      <c r="AC707" t="s">
        <v>32</v>
      </c>
      <c r="AD707" t="s">
        <v>33</v>
      </c>
      <c r="AE707" t="s">
        <v>2828</v>
      </c>
    </row>
    <row r="708" spans="1:32">
      <c r="A708" t="s">
        <v>2197</v>
      </c>
      <c r="B708" s="3">
        <v>45467</v>
      </c>
      <c r="C708" t="str">
        <f t="shared" si="100"/>
        <v>June</v>
      </c>
      <c r="D708">
        <f t="shared" si="101"/>
        <v>2024</v>
      </c>
      <c r="E708" s="3">
        <v>45471</v>
      </c>
      <c r="F708">
        <f t="shared" si="99"/>
        <v>4</v>
      </c>
      <c r="G708" t="s">
        <v>2198</v>
      </c>
      <c r="H708" t="s">
        <v>47</v>
      </c>
      <c r="I708" t="s">
        <v>37</v>
      </c>
      <c r="J708" t="s">
        <v>38</v>
      </c>
      <c r="K708" t="s">
        <v>39</v>
      </c>
      <c r="L708" t="s">
        <v>40</v>
      </c>
      <c r="M708" t="s">
        <v>28</v>
      </c>
      <c r="N708" t="s">
        <v>29</v>
      </c>
      <c r="O708" t="s">
        <v>2199</v>
      </c>
      <c r="P708" t="s">
        <v>44</v>
      </c>
      <c r="Q708">
        <v>1</v>
      </c>
      <c r="R708">
        <v>2112.75</v>
      </c>
      <c r="S708" s="6">
        <v>0.1</v>
      </c>
      <c r="T708" s="6">
        <f t="shared" si="102"/>
        <v>0.1</v>
      </c>
      <c r="U708">
        <v>1901.48</v>
      </c>
      <c r="V708">
        <f t="shared" si="103"/>
        <v>1901.4750000000001</v>
      </c>
      <c r="W708" s="6">
        <f t="shared" si="104"/>
        <v>-4.9999999998817657E-3</v>
      </c>
      <c r="X708">
        <v>1354.28</v>
      </c>
      <c r="Y708">
        <v>547.20000000000005</v>
      </c>
      <c r="Z708">
        <f t="shared" si="105"/>
        <v>547.19500000000016</v>
      </c>
      <c r="AA708" s="6">
        <f t="shared" si="106"/>
        <v>-4.9999999998817657E-3</v>
      </c>
      <c r="AB708">
        <f t="shared" si="107"/>
        <v>0.28777396494826391</v>
      </c>
      <c r="AC708" t="s">
        <v>32</v>
      </c>
      <c r="AD708" t="s">
        <v>33</v>
      </c>
      <c r="AE708" t="s">
        <v>2828</v>
      </c>
    </row>
    <row r="709" spans="1:32">
      <c r="A709" t="s">
        <v>2200</v>
      </c>
      <c r="B709" s="3">
        <v>45832</v>
      </c>
      <c r="C709" t="str">
        <f t="shared" si="100"/>
        <v>June</v>
      </c>
      <c r="D709">
        <f t="shared" si="101"/>
        <v>2025</v>
      </c>
      <c r="E709" s="3">
        <v>45834</v>
      </c>
      <c r="F709">
        <f t="shared" si="99"/>
        <v>2</v>
      </c>
      <c r="G709" t="s">
        <v>2201</v>
      </c>
      <c r="H709" t="s">
        <v>71</v>
      </c>
      <c r="I709" t="s">
        <v>24</v>
      </c>
      <c r="J709" t="s">
        <v>25</v>
      </c>
      <c r="K709" t="s">
        <v>26</v>
      </c>
      <c r="L709" t="s">
        <v>27</v>
      </c>
      <c r="M709" t="s">
        <v>74</v>
      </c>
      <c r="N709" t="s">
        <v>75</v>
      </c>
      <c r="O709" t="s">
        <v>2202</v>
      </c>
      <c r="P709" t="s">
        <v>44</v>
      </c>
      <c r="Q709">
        <v>5</v>
      </c>
      <c r="R709">
        <v>3722.66</v>
      </c>
      <c r="S709" s="6">
        <v>0.55000000000000004</v>
      </c>
      <c r="T709" s="6">
        <f t="shared" si="102"/>
        <v>0.55000000000000004</v>
      </c>
      <c r="U709">
        <v>16751.97</v>
      </c>
      <c r="V709">
        <f t="shared" si="103"/>
        <v>8375.9849999999988</v>
      </c>
      <c r="W709" s="6">
        <f t="shared" si="104"/>
        <v>-8375.9850000000024</v>
      </c>
      <c r="X709">
        <v>11678.32</v>
      </c>
      <c r="Y709">
        <v>5073.6499999999996</v>
      </c>
      <c r="Z709">
        <f t="shared" si="105"/>
        <v>-3302.3350000000009</v>
      </c>
      <c r="AA709" s="6">
        <f t="shared" si="106"/>
        <v>-8375.9850000000006</v>
      </c>
      <c r="AB709">
        <f t="shared" si="107"/>
        <v>-0.39426228676388525</v>
      </c>
      <c r="AC709" t="s">
        <v>32</v>
      </c>
      <c r="AD709" t="s">
        <v>33</v>
      </c>
      <c r="AE709" t="s">
        <v>2828</v>
      </c>
    </row>
    <row r="710" spans="1:32">
      <c r="A710" t="s">
        <v>2203</v>
      </c>
      <c r="B710" s="3">
        <v>45736</v>
      </c>
      <c r="C710" t="str">
        <f t="shared" si="100"/>
        <v>March</v>
      </c>
      <c r="D710">
        <f t="shared" si="101"/>
        <v>2025</v>
      </c>
      <c r="E710" s="3">
        <v>45742</v>
      </c>
      <c r="F710">
        <f t="shared" si="99"/>
        <v>6</v>
      </c>
      <c r="G710" t="s">
        <v>2204</v>
      </c>
      <c r="H710" t="s">
        <v>132</v>
      </c>
      <c r="I710" t="s">
        <v>24</v>
      </c>
      <c r="J710" t="s">
        <v>38</v>
      </c>
      <c r="K710" t="s">
        <v>166</v>
      </c>
      <c r="L710" t="s">
        <v>167</v>
      </c>
      <c r="M710" t="s">
        <v>41</v>
      </c>
      <c r="N710" t="s">
        <v>158</v>
      </c>
      <c r="O710" t="s">
        <v>2205</v>
      </c>
      <c r="P710" t="s">
        <v>50</v>
      </c>
      <c r="Q710">
        <v>4</v>
      </c>
      <c r="R710">
        <v>4357.66</v>
      </c>
      <c r="S710" s="6">
        <v>0.05</v>
      </c>
      <c r="T710" s="6">
        <f t="shared" si="102"/>
        <v>0.05</v>
      </c>
      <c r="U710">
        <v>16559.11</v>
      </c>
      <c r="V710">
        <f t="shared" si="103"/>
        <v>16559.108</v>
      </c>
      <c r="W710" s="6">
        <f t="shared" si="104"/>
        <v>-2.0000000004074536E-3</v>
      </c>
      <c r="X710">
        <v>13233.79</v>
      </c>
      <c r="Y710">
        <v>3325.32</v>
      </c>
      <c r="Z710">
        <f t="shared" si="105"/>
        <v>3325.3179999999993</v>
      </c>
      <c r="AA710" s="6">
        <f t="shared" si="106"/>
        <v>-2.000000000862201E-3</v>
      </c>
      <c r="AB710">
        <f t="shared" si="107"/>
        <v>0.20081504390212318</v>
      </c>
      <c r="AC710" t="s">
        <v>32</v>
      </c>
      <c r="AD710" t="s">
        <v>33</v>
      </c>
      <c r="AE710" t="s">
        <v>2828</v>
      </c>
    </row>
    <row r="711" spans="1:32">
      <c r="A711" t="s">
        <v>2206</v>
      </c>
      <c r="B711" s="3">
        <v>45676</v>
      </c>
      <c r="C711" t="str">
        <f t="shared" si="100"/>
        <v>January</v>
      </c>
      <c r="D711">
        <f t="shared" si="101"/>
        <v>2025</v>
      </c>
      <c r="E711" s="3">
        <v>45680</v>
      </c>
      <c r="F711">
        <f t="shared" si="99"/>
        <v>4</v>
      </c>
      <c r="G711" t="s">
        <v>2207</v>
      </c>
      <c r="H711" t="s">
        <v>264</v>
      </c>
      <c r="I711" t="s">
        <v>95</v>
      </c>
      <c r="J711" t="s">
        <v>25</v>
      </c>
      <c r="K711" t="s">
        <v>122</v>
      </c>
      <c r="L711" t="s">
        <v>123</v>
      </c>
      <c r="M711" t="s">
        <v>74</v>
      </c>
      <c r="N711" t="s">
        <v>171</v>
      </c>
      <c r="O711" t="s">
        <v>2208</v>
      </c>
      <c r="P711" t="s">
        <v>44</v>
      </c>
      <c r="Q711">
        <v>7</v>
      </c>
      <c r="R711">
        <v>1363.04</v>
      </c>
      <c r="S711" s="6">
        <v>0.15</v>
      </c>
      <c r="T711" s="6">
        <f t="shared" si="102"/>
        <v>0.15</v>
      </c>
      <c r="U711">
        <v>8110.09</v>
      </c>
      <c r="V711">
        <f t="shared" si="103"/>
        <v>8110.0879999999988</v>
      </c>
      <c r="W711" s="6">
        <f t="shared" si="104"/>
        <v>-2.0000000013169483E-3</v>
      </c>
      <c r="X711">
        <v>6417.32</v>
      </c>
      <c r="Y711">
        <v>1692.77</v>
      </c>
      <c r="Z711">
        <f t="shared" si="105"/>
        <v>1692.7679999999991</v>
      </c>
      <c r="AA711" s="6">
        <f t="shared" si="106"/>
        <v>-2.000000000862201E-3</v>
      </c>
      <c r="AB711">
        <f t="shared" si="107"/>
        <v>0.2087237524426368</v>
      </c>
      <c r="AC711" t="s">
        <v>32</v>
      </c>
      <c r="AD711" t="s">
        <v>68</v>
      </c>
      <c r="AE711" t="s">
        <v>2827</v>
      </c>
      <c r="AF711" t="s">
        <v>2795</v>
      </c>
    </row>
    <row r="712" spans="1:32">
      <c r="A712" t="s">
        <v>2209</v>
      </c>
      <c r="B712" s="3">
        <v>45485</v>
      </c>
      <c r="C712" t="str">
        <f t="shared" si="100"/>
        <v>July</v>
      </c>
      <c r="D712">
        <f t="shared" si="101"/>
        <v>2024</v>
      </c>
      <c r="E712" s="3">
        <v>45492</v>
      </c>
      <c r="F712">
        <f t="shared" si="99"/>
        <v>7</v>
      </c>
      <c r="G712" t="s">
        <v>2210</v>
      </c>
      <c r="H712" t="s">
        <v>71</v>
      </c>
      <c r="I712" t="s">
        <v>90</v>
      </c>
      <c r="J712" t="s">
        <v>25</v>
      </c>
      <c r="K712" t="s">
        <v>122</v>
      </c>
      <c r="L712" t="s">
        <v>123</v>
      </c>
      <c r="M712" t="s">
        <v>28</v>
      </c>
      <c r="N712" t="s">
        <v>48</v>
      </c>
      <c r="O712" t="s">
        <v>2211</v>
      </c>
      <c r="P712" t="s">
        <v>31</v>
      </c>
      <c r="Q712">
        <v>5</v>
      </c>
      <c r="R712">
        <v>1559.16</v>
      </c>
      <c r="S712" s="6">
        <v>0.05</v>
      </c>
      <c r="T712" s="6">
        <f t="shared" si="102"/>
        <v>0.05</v>
      </c>
      <c r="U712">
        <v>7406.01</v>
      </c>
      <c r="V712">
        <f t="shared" si="103"/>
        <v>7406.01</v>
      </c>
      <c r="W712" s="6">
        <f t="shared" si="104"/>
        <v>0</v>
      </c>
      <c r="X712">
        <v>5941.74</v>
      </c>
      <c r="Y712">
        <v>1464.27</v>
      </c>
      <c r="Z712">
        <f t="shared" si="105"/>
        <v>1464.2700000000004</v>
      </c>
      <c r="AA712" s="6">
        <f t="shared" si="106"/>
        <v>0</v>
      </c>
      <c r="AB712">
        <f t="shared" si="107"/>
        <v>0.19771374869869207</v>
      </c>
      <c r="AC712" t="s">
        <v>32</v>
      </c>
      <c r="AD712" t="s">
        <v>33</v>
      </c>
      <c r="AE712" t="s">
        <v>2828</v>
      </c>
    </row>
    <row r="713" spans="1:32">
      <c r="A713" t="s">
        <v>2212</v>
      </c>
      <c r="B713" s="3">
        <v>45690</v>
      </c>
      <c r="C713" t="str">
        <f t="shared" si="100"/>
        <v>February</v>
      </c>
      <c r="D713">
        <f t="shared" si="101"/>
        <v>2025</v>
      </c>
      <c r="E713" s="3">
        <v>45690</v>
      </c>
      <c r="F713">
        <f t="shared" si="99"/>
        <v>0</v>
      </c>
      <c r="G713" t="s">
        <v>2213</v>
      </c>
      <c r="H713" t="s">
        <v>264</v>
      </c>
      <c r="I713" t="s">
        <v>90</v>
      </c>
      <c r="J713" t="s">
        <v>38</v>
      </c>
      <c r="K713" t="s">
        <v>99</v>
      </c>
      <c r="L713" t="s">
        <v>100</v>
      </c>
      <c r="M713" t="s">
        <v>74</v>
      </c>
      <c r="N713" t="s">
        <v>274</v>
      </c>
      <c r="O713" t="s">
        <v>2214</v>
      </c>
      <c r="P713" t="s">
        <v>50</v>
      </c>
      <c r="Q713">
        <v>1</v>
      </c>
      <c r="R713">
        <v>4326.75</v>
      </c>
      <c r="S713" s="6">
        <v>0.05</v>
      </c>
      <c r="T713" s="6">
        <f t="shared" si="102"/>
        <v>0.05</v>
      </c>
      <c r="U713">
        <v>4110.41</v>
      </c>
      <c r="V713">
        <f t="shared" si="103"/>
        <v>4110.4124999999995</v>
      </c>
      <c r="W713" s="6">
        <f t="shared" si="104"/>
        <v>2.4999999995998223E-3</v>
      </c>
      <c r="X713">
        <v>2394.14</v>
      </c>
      <c r="Y713">
        <v>1716.27</v>
      </c>
      <c r="Z713">
        <f t="shared" si="105"/>
        <v>1716.2724999999996</v>
      </c>
      <c r="AA713" s="6">
        <f t="shared" si="106"/>
        <v>2.4999999995998223E-3</v>
      </c>
      <c r="AB713">
        <f t="shared" si="107"/>
        <v>0.41754264322619683</v>
      </c>
      <c r="AC713" t="s">
        <v>111</v>
      </c>
      <c r="AD713" t="s">
        <v>103</v>
      </c>
      <c r="AE713" t="s">
        <v>2827</v>
      </c>
      <c r="AF713" t="s">
        <v>2814</v>
      </c>
    </row>
    <row r="714" spans="1:32">
      <c r="A714" t="s">
        <v>2215</v>
      </c>
      <c r="B714" s="3">
        <v>45567</v>
      </c>
      <c r="C714" t="str">
        <f t="shared" si="100"/>
        <v>October</v>
      </c>
      <c r="D714">
        <f t="shared" si="101"/>
        <v>2024</v>
      </c>
      <c r="E714" s="3">
        <v>45340</v>
      </c>
      <c r="F714">
        <f t="shared" si="99"/>
        <v>-227</v>
      </c>
      <c r="G714" t="s">
        <v>2216</v>
      </c>
      <c r="H714" t="s">
        <v>47</v>
      </c>
      <c r="I714" t="s">
        <v>95</v>
      </c>
      <c r="J714" t="s">
        <v>63</v>
      </c>
      <c r="K714" t="s">
        <v>72</v>
      </c>
      <c r="L714" t="s">
        <v>73</v>
      </c>
      <c r="M714" t="s">
        <v>41</v>
      </c>
      <c r="N714" t="s">
        <v>66</v>
      </c>
      <c r="O714" t="s">
        <v>2217</v>
      </c>
      <c r="P714" t="s">
        <v>50</v>
      </c>
      <c r="Q714">
        <v>7</v>
      </c>
      <c r="R714">
        <v>1382.86</v>
      </c>
      <c r="S714" s="6">
        <v>0</v>
      </c>
      <c r="T714" s="6">
        <f t="shared" si="102"/>
        <v>0</v>
      </c>
      <c r="U714">
        <v>9680.02</v>
      </c>
      <c r="V714">
        <f t="shared" si="103"/>
        <v>9680.0199999999986</v>
      </c>
      <c r="W714" s="6">
        <f t="shared" si="104"/>
        <v>0</v>
      </c>
      <c r="X714">
        <v>6876.66</v>
      </c>
      <c r="Y714">
        <v>2803.36</v>
      </c>
      <c r="Z714">
        <f t="shared" si="105"/>
        <v>2803.3599999999988</v>
      </c>
      <c r="AA714" s="6">
        <f t="shared" si="106"/>
        <v>0</v>
      </c>
      <c r="AB714">
        <f t="shared" si="107"/>
        <v>0.28960270743242256</v>
      </c>
      <c r="AC714" t="s">
        <v>32</v>
      </c>
      <c r="AD714" t="s">
        <v>33</v>
      </c>
      <c r="AE714" t="s">
        <v>2826</v>
      </c>
      <c r="AF714" s="10" t="s">
        <v>2790</v>
      </c>
    </row>
    <row r="715" spans="1:32">
      <c r="A715" t="s">
        <v>2218</v>
      </c>
      <c r="B715" s="3">
        <v>45814</v>
      </c>
      <c r="C715" t="str">
        <f t="shared" si="100"/>
        <v>June</v>
      </c>
      <c r="D715">
        <f t="shared" si="101"/>
        <v>2025</v>
      </c>
      <c r="E715" s="3">
        <v>45818</v>
      </c>
      <c r="F715">
        <f t="shared" si="99"/>
        <v>4</v>
      </c>
      <c r="G715" t="s">
        <v>598</v>
      </c>
      <c r="H715" t="s">
        <v>36</v>
      </c>
      <c r="I715" t="s">
        <v>24</v>
      </c>
      <c r="J715" t="s">
        <v>63</v>
      </c>
      <c r="K715" t="s">
        <v>26</v>
      </c>
      <c r="L715" t="s">
        <v>109</v>
      </c>
      <c r="M715" t="s">
        <v>74</v>
      </c>
      <c r="N715" t="s">
        <v>274</v>
      </c>
      <c r="O715" t="s">
        <v>2219</v>
      </c>
      <c r="P715" t="s">
        <v>31</v>
      </c>
      <c r="Q715">
        <v>1</v>
      </c>
      <c r="R715">
        <v>289.97000000000003</v>
      </c>
      <c r="S715" s="6">
        <v>0.25</v>
      </c>
      <c r="T715" s="6">
        <f t="shared" si="102"/>
        <v>0.25</v>
      </c>
      <c r="U715">
        <v>217.48</v>
      </c>
      <c r="V715">
        <f t="shared" si="103"/>
        <v>217.47750000000002</v>
      </c>
      <c r="W715" s="6">
        <f t="shared" si="104"/>
        <v>-2.4999999999693046E-3</v>
      </c>
      <c r="X715">
        <v>132.13</v>
      </c>
      <c r="Y715">
        <v>85.35</v>
      </c>
      <c r="Z715">
        <f t="shared" si="105"/>
        <v>85.347500000000025</v>
      </c>
      <c r="AA715" s="6">
        <f t="shared" si="106"/>
        <v>-2.4999999999693046E-3</v>
      </c>
      <c r="AB715">
        <f t="shared" si="107"/>
        <v>0.39244289639158081</v>
      </c>
      <c r="AC715" t="s">
        <v>32</v>
      </c>
      <c r="AD715" t="s">
        <v>33</v>
      </c>
      <c r="AE715" t="s">
        <v>2828</v>
      </c>
    </row>
    <row r="716" spans="1:32">
      <c r="A716" t="s">
        <v>2220</v>
      </c>
      <c r="B716" s="3">
        <v>45738</v>
      </c>
      <c r="C716" t="str">
        <f t="shared" si="100"/>
        <v>March</v>
      </c>
      <c r="D716">
        <f t="shared" si="101"/>
        <v>2025</v>
      </c>
      <c r="E716" s="3">
        <v>45739</v>
      </c>
      <c r="F716">
        <f t="shared" si="99"/>
        <v>1</v>
      </c>
      <c r="G716" t="s">
        <v>2221</v>
      </c>
      <c r="H716" t="s">
        <v>23</v>
      </c>
      <c r="I716" t="s">
        <v>95</v>
      </c>
      <c r="J716" t="s">
        <v>25</v>
      </c>
      <c r="K716" t="s">
        <v>350</v>
      </c>
      <c r="L716" t="s">
        <v>351</v>
      </c>
      <c r="M716" t="s">
        <v>74</v>
      </c>
      <c r="N716" t="s">
        <v>80</v>
      </c>
      <c r="O716" t="s">
        <v>2222</v>
      </c>
      <c r="P716" t="s">
        <v>59</v>
      </c>
      <c r="Q716">
        <v>9</v>
      </c>
      <c r="R716">
        <v>2075.02</v>
      </c>
      <c r="S716" s="6">
        <v>0</v>
      </c>
      <c r="T716" s="6">
        <f t="shared" si="102"/>
        <v>0</v>
      </c>
      <c r="U716">
        <v>18675.18</v>
      </c>
      <c r="V716">
        <f t="shared" si="103"/>
        <v>18675.18</v>
      </c>
      <c r="W716" s="6">
        <f t="shared" si="104"/>
        <v>0</v>
      </c>
      <c r="X716">
        <v>13974.7</v>
      </c>
      <c r="Y716">
        <v>4700.4799999999996</v>
      </c>
      <c r="Z716">
        <f t="shared" si="105"/>
        <v>4700.4799999999996</v>
      </c>
      <c r="AA716" s="6">
        <f t="shared" si="106"/>
        <v>0</v>
      </c>
      <c r="AB716">
        <f t="shared" si="107"/>
        <v>0.25169663692665878</v>
      </c>
      <c r="AC716" t="s">
        <v>32</v>
      </c>
      <c r="AD716" t="s">
        <v>33</v>
      </c>
      <c r="AE716" t="s">
        <v>2828</v>
      </c>
    </row>
    <row r="717" spans="1:32">
      <c r="A717" t="s">
        <v>2223</v>
      </c>
      <c r="B717" s="3">
        <v>45891</v>
      </c>
      <c r="C717" t="str">
        <f t="shared" si="100"/>
        <v>August</v>
      </c>
      <c r="D717">
        <f t="shared" si="101"/>
        <v>2025</v>
      </c>
      <c r="E717" s="3">
        <v>45896</v>
      </c>
      <c r="F717">
        <f t="shared" si="99"/>
        <v>5</v>
      </c>
      <c r="G717" t="s">
        <v>2224</v>
      </c>
      <c r="H717" t="s">
        <v>114</v>
      </c>
      <c r="I717" t="s">
        <v>24</v>
      </c>
      <c r="J717" t="s">
        <v>25</v>
      </c>
      <c r="K717" t="s">
        <v>236</v>
      </c>
      <c r="L717" t="s">
        <v>237</v>
      </c>
      <c r="M717" t="s">
        <v>41</v>
      </c>
      <c r="N717" t="s">
        <v>66</v>
      </c>
      <c r="O717" t="s">
        <v>2225</v>
      </c>
      <c r="P717" t="s">
        <v>31</v>
      </c>
      <c r="Q717">
        <v>7</v>
      </c>
      <c r="R717">
        <v>2843.09</v>
      </c>
      <c r="S717" s="6">
        <v>0</v>
      </c>
      <c r="T717" s="6">
        <f t="shared" si="102"/>
        <v>0</v>
      </c>
      <c r="U717">
        <v>19901.63</v>
      </c>
      <c r="V717">
        <f t="shared" si="103"/>
        <v>19901.63</v>
      </c>
      <c r="W717" s="6">
        <f t="shared" si="104"/>
        <v>0</v>
      </c>
      <c r="X717">
        <v>15492.03</v>
      </c>
      <c r="Y717">
        <v>4409.6000000000004</v>
      </c>
      <c r="Z717">
        <f t="shared" si="105"/>
        <v>4409.6000000000004</v>
      </c>
      <c r="AA717" s="6">
        <f t="shared" si="106"/>
        <v>0</v>
      </c>
      <c r="AB717">
        <f t="shared" si="107"/>
        <v>0.22156979101711771</v>
      </c>
      <c r="AC717" t="s">
        <v>102</v>
      </c>
      <c r="AD717" t="s">
        <v>68</v>
      </c>
      <c r="AE717" t="s">
        <v>2827</v>
      </c>
      <c r="AF717" t="s">
        <v>2808</v>
      </c>
    </row>
    <row r="718" spans="1:32">
      <c r="A718" t="s">
        <v>2226</v>
      </c>
      <c r="B718" s="3">
        <v>45895</v>
      </c>
      <c r="C718" t="str">
        <f t="shared" si="100"/>
        <v>August</v>
      </c>
      <c r="D718">
        <f t="shared" si="101"/>
        <v>2025</v>
      </c>
      <c r="E718" s="3">
        <v>45900</v>
      </c>
      <c r="F718">
        <f t="shared" si="99"/>
        <v>5</v>
      </c>
      <c r="G718" t="s">
        <v>2227</v>
      </c>
      <c r="H718" t="s">
        <v>162</v>
      </c>
      <c r="I718" t="s">
        <v>37</v>
      </c>
      <c r="J718" t="s">
        <v>25</v>
      </c>
      <c r="K718" t="s">
        <v>236</v>
      </c>
      <c r="L718" t="s">
        <v>237</v>
      </c>
      <c r="M718" t="s">
        <v>74</v>
      </c>
      <c r="N718" t="s">
        <v>171</v>
      </c>
      <c r="O718" t="s">
        <v>2228</v>
      </c>
      <c r="P718" t="s">
        <v>50</v>
      </c>
      <c r="Q718">
        <v>1</v>
      </c>
      <c r="R718">
        <v>3388.02</v>
      </c>
      <c r="S718" s="6">
        <v>0.15</v>
      </c>
      <c r="T718" s="6">
        <f t="shared" si="102"/>
        <v>0.15</v>
      </c>
      <c r="U718">
        <v>2879.82</v>
      </c>
      <c r="V718">
        <f t="shared" si="103"/>
        <v>2879.817</v>
      </c>
      <c r="W718" s="6">
        <f t="shared" si="104"/>
        <v>-3.0000000001564331E-3</v>
      </c>
      <c r="X718">
        <v>1824.88</v>
      </c>
      <c r="Y718">
        <v>1054.94</v>
      </c>
      <c r="Z718">
        <f t="shared" si="105"/>
        <v>1054.9369999999999</v>
      </c>
      <c r="AA718" s="6">
        <f t="shared" si="106"/>
        <v>-3.0000000001564331E-3</v>
      </c>
      <c r="AB718">
        <f t="shared" si="107"/>
        <v>0.3663208460815392</v>
      </c>
      <c r="AC718" t="s">
        <v>32</v>
      </c>
      <c r="AD718" t="s">
        <v>33</v>
      </c>
      <c r="AE718" t="s">
        <v>2828</v>
      </c>
    </row>
    <row r="719" spans="1:32">
      <c r="A719" t="s">
        <v>2229</v>
      </c>
      <c r="B719" s="3">
        <v>46001</v>
      </c>
      <c r="C719" t="str">
        <f t="shared" si="100"/>
        <v>December</v>
      </c>
      <c r="D719">
        <f t="shared" si="101"/>
        <v>2025</v>
      </c>
      <c r="E719" s="3">
        <v>45945</v>
      </c>
      <c r="F719">
        <f t="shared" si="99"/>
        <v>-56</v>
      </c>
      <c r="G719" t="s">
        <v>2230</v>
      </c>
      <c r="H719" t="s">
        <v>264</v>
      </c>
      <c r="I719" t="s">
        <v>37</v>
      </c>
      <c r="J719" t="s">
        <v>25</v>
      </c>
      <c r="K719" t="s">
        <v>236</v>
      </c>
      <c r="L719" t="s">
        <v>237</v>
      </c>
      <c r="M719" t="s">
        <v>74</v>
      </c>
      <c r="N719" t="s">
        <v>274</v>
      </c>
      <c r="O719" t="s">
        <v>2231</v>
      </c>
      <c r="P719" t="s">
        <v>59</v>
      </c>
      <c r="Q719">
        <v>9</v>
      </c>
      <c r="R719">
        <v>2598.92</v>
      </c>
      <c r="S719" s="6">
        <v>0.2</v>
      </c>
      <c r="T719" s="6">
        <f t="shared" si="102"/>
        <v>0.2</v>
      </c>
      <c r="U719">
        <v>18712.22</v>
      </c>
      <c r="V719">
        <f t="shared" si="103"/>
        <v>18712.223999999998</v>
      </c>
      <c r="W719" s="6">
        <f t="shared" si="104"/>
        <v>3.9999999971769284E-3</v>
      </c>
      <c r="X719">
        <v>11852.22</v>
      </c>
      <c r="Y719">
        <v>6860</v>
      </c>
      <c r="Z719">
        <f t="shared" si="105"/>
        <v>6860.003999999999</v>
      </c>
      <c r="AA719" s="6">
        <f t="shared" si="106"/>
        <v>3.9999999989959178E-3</v>
      </c>
      <c r="AB719">
        <f t="shared" si="107"/>
        <v>0.3666054874075898</v>
      </c>
      <c r="AC719" t="s">
        <v>111</v>
      </c>
      <c r="AD719" t="s">
        <v>68</v>
      </c>
      <c r="AE719" t="s">
        <v>2826</v>
      </c>
      <c r="AF719" s="10" t="s">
        <v>2806</v>
      </c>
    </row>
    <row r="720" spans="1:32">
      <c r="A720" t="s">
        <v>2232</v>
      </c>
      <c r="B720" s="3">
        <v>45452</v>
      </c>
      <c r="C720" t="str">
        <f t="shared" si="100"/>
        <v>June</v>
      </c>
      <c r="D720">
        <f t="shared" si="101"/>
        <v>2024</v>
      </c>
      <c r="E720" s="3">
        <v>45544</v>
      </c>
      <c r="F720">
        <f t="shared" si="99"/>
        <v>92</v>
      </c>
      <c r="G720" t="s">
        <v>2233</v>
      </c>
      <c r="H720" t="s">
        <v>36</v>
      </c>
      <c r="I720" t="s">
        <v>24</v>
      </c>
      <c r="J720" t="s">
        <v>63</v>
      </c>
      <c r="K720" t="s">
        <v>64</v>
      </c>
      <c r="L720" t="s">
        <v>65</v>
      </c>
      <c r="M720" t="s">
        <v>28</v>
      </c>
      <c r="N720" t="s">
        <v>48</v>
      </c>
      <c r="O720" t="s">
        <v>2234</v>
      </c>
      <c r="P720" t="s">
        <v>44</v>
      </c>
      <c r="Q720">
        <v>3</v>
      </c>
      <c r="R720">
        <v>1972.27</v>
      </c>
      <c r="S720" s="6">
        <v>0.2</v>
      </c>
      <c r="T720" s="6">
        <f t="shared" si="102"/>
        <v>0.2</v>
      </c>
      <c r="U720">
        <v>4733.45</v>
      </c>
      <c r="V720">
        <f t="shared" si="103"/>
        <v>4733.4479999999994</v>
      </c>
      <c r="W720" s="6">
        <f t="shared" si="104"/>
        <v>-2.0000000004074536E-3</v>
      </c>
      <c r="X720">
        <v>3672.32</v>
      </c>
      <c r="Y720">
        <v>1061.1300000000001</v>
      </c>
      <c r="Z720">
        <f t="shared" si="105"/>
        <v>1061.1279999999992</v>
      </c>
      <c r="AA720" s="6">
        <f t="shared" si="106"/>
        <v>-2.000000000862201E-3</v>
      </c>
      <c r="AB720">
        <f t="shared" si="107"/>
        <v>0.22417654107534282</v>
      </c>
      <c r="AC720" t="s">
        <v>32</v>
      </c>
      <c r="AD720" t="s">
        <v>33</v>
      </c>
      <c r="AE720" t="s">
        <v>2828</v>
      </c>
    </row>
    <row r="721" spans="1:32">
      <c r="A721" t="s">
        <v>2235</v>
      </c>
      <c r="B721" s="3">
        <v>45878</v>
      </c>
      <c r="C721" t="str">
        <f t="shared" si="100"/>
        <v>August</v>
      </c>
      <c r="D721">
        <f t="shared" si="101"/>
        <v>2025</v>
      </c>
      <c r="E721" s="3">
        <v>45909</v>
      </c>
      <c r="F721">
        <f t="shared" si="99"/>
        <v>31</v>
      </c>
      <c r="G721" t="s">
        <v>144</v>
      </c>
      <c r="H721" t="s">
        <v>264</v>
      </c>
      <c r="I721" t="s">
        <v>90</v>
      </c>
      <c r="J721" t="s">
        <v>63</v>
      </c>
      <c r="K721" t="s">
        <v>180</v>
      </c>
      <c r="L721" t="s">
        <v>181</v>
      </c>
      <c r="M721" t="s">
        <v>28</v>
      </c>
      <c r="N721" t="s">
        <v>48</v>
      </c>
      <c r="O721" t="s">
        <v>2236</v>
      </c>
      <c r="P721" t="s">
        <v>44</v>
      </c>
      <c r="Q721">
        <v>2</v>
      </c>
      <c r="R721">
        <v>2372.41</v>
      </c>
      <c r="S721" s="6">
        <v>0.2</v>
      </c>
      <c r="T721" s="6">
        <f t="shared" si="102"/>
        <v>0.2</v>
      </c>
      <c r="U721">
        <v>3795.86</v>
      </c>
      <c r="V721">
        <f t="shared" si="103"/>
        <v>3795.8559999999998</v>
      </c>
      <c r="W721" s="6">
        <f t="shared" si="104"/>
        <v>-4.0000000003601599E-3</v>
      </c>
      <c r="X721">
        <v>2264.92</v>
      </c>
      <c r="Y721">
        <v>1530.94</v>
      </c>
      <c r="Z721">
        <f t="shared" si="105"/>
        <v>1530.9359999999997</v>
      </c>
      <c r="AA721" s="6">
        <f t="shared" si="106"/>
        <v>-4.0000000003601599E-3</v>
      </c>
      <c r="AB721">
        <f t="shared" si="107"/>
        <v>0.40331772332775528</v>
      </c>
      <c r="AC721" t="s">
        <v>32</v>
      </c>
      <c r="AD721" t="s">
        <v>33</v>
      </c>
      <c r="AE721" t="s">
        <v>2828</v>
      </c>
    </row>
    <row r="722" spans="1:32">
      <c r="A722" t="s">
        <v>2237</v>
      </c>
      <c r="B722" s="3">
        <v>45489</v>
      </c>
      <c r="C722" t="str">
        <f t="shared" si="100"/>
        <v>July</v>
      </c>
      <c r="D722">
        <f t="shared" si="101"/>
        <v>2024</v>
      </c>
      <c r="E722" s="3">
        <v>45489</v>
      </c>
      <c r="F722">
        <f t="shared" si="99"/>
        <v>0</v>
      </c>
      <c r="G722" t="s">
        <v>2238</v>
      </c>
      <c r="H722" t="s">
        <v>89</v>
      </c>
      <c r="I722" t="s">
        <v>95</v>
      </c>
      <c r="J722" t="s">
        <v>63</v>
      </c>
      <c r="K722" t="s">
        <v>72</v>
      </c>
      <c r="L722" t="s">
        <v>73</v>
      </c>
      <c r="M722" t="s">
        <v>74</v>
      </c>
      <c r="N722" t="s">
        <v>80</v>
      </c>
      <c r="O722" t="s">
        <v>2239</v>
      </c>
      <c r="P722" t="s">
        <v>44</v>
      </c>
      <c r="Q722">
        <v>4</v>
      </c>
      <c r="R722">
        <v>4479.92</v>
      </c>
      <c r="S722" s="6">
        <v>0.15</v>
      </c>
      <c r="T722" s="6">
        <f t="shared" si="102"/>
        <v>0.15</v>
      </c>
      <c r="U722">
        <v>15231.73</v>
      </c>
      <c r="V722">
        <f t="shared" si="103"/>
        <v>15231.727999999999</v>
      </c>
      <c r="W722" s="6">
        <f t="shared" si="104"/>
        <v>-2.0000000004074536E-3</v>
      </c>
      <c r="X722">
        <v>12451.46</v>
      </c>
      <c r="Y722">
        <v>2780.27</v>
      </c>
      <c r="Z722">
        <f t="shared" si="105"/>
        <v>2780.268</v>
      </c>
      <c r="AA722" s="6">
        <f t="shared" si="106"/>
        <v>-1.9999999999527063E-3</v>
      </c>
      <c r="AB722">
        <f t="shared" si="107"/>
        <v>0.1825313582280356</v>
      </c>
      <c r="AC722" t="s">
        <v>32</v>
      </c>
      <c r="AD722" t="s">
        <v>33</v>
      </c>
      <c r="AE722" t="s">
        <v>2828</v>
      </c>
    </row>
    <row r="723" spans="1:32">
      <c r="A723" t="s">
        <v>2240</v>
      </c>
      <c r="B723" s="3">
        <v>45827</v>
      </c>
      <c r="C723" t="str">
        <f t="shared" si="100"/>
        <v>June</v>
      </c>
      <c r="D723">
        <f t="shared" si="101"/>
        <v>2025</v>
      </c>
      <c r="E723" s="3">
        <v>45831</v>
      </c>
      <c r="F723">
        <f t="shared" si="99"/>
        <v>4</v>
      </c>
      <c r="G723" t="s">
        <v>2241</v>
      </c>
      <c r="H723" t="s">
        <v>132</v>
      </c>
      <c r="I723" t="s">
        <v>24</v>
      </c>
      <c r="J723" t="s">
        <v>54</v>
      </c>
      <c r="K723" t="s">
        <v>175</v>
      </c>
      <c r="L723" t="s">
        <v>176</v>
      </c>
      <c r="M723" t="s">
        <v>74</v>
      </c>
      <c r="N723" t="s">
        <v>80</v>
      </c>
      <c r="O723" t="s">
        <v>2242</v>
      </c>
      <c r="P723" t="s">
        <v>50</v>
      </c>
      <c r="Q723">
        <v>5</v>
      </c>
      <c r="R723">
        <v>2729.95</v>
      </c>
      <c r="S723" s="6">
        <v>0</v>
      </c>
      <c r="T723" s="6">
        <f t="shared" si="102"/>
        <v>0</v>
      </c>
      <c r="U723">
        <v>13649.75</v>
      </c>
      <c r="V723">
        <f t="shared" si="103"/>
        <v>13649.75</v>
      </c>
      <c r="W723" s="6">
        <f t="shared" si="104"/>
        <v>0</v>
      </c>
      <c r="X723">
        <v>10288.030000000001</v>
      </c>
      <c r="Y723">
        <v>3361.72</v>
      </c>
      <c r="Z723">
        <f t="shared" si="105"/>
        <v>3361.7199999999993</v>
      </c>
      <c r="AA723" s="6">
        <f t="shared" si="106"/>
        <v>0</v>
      </c>
      <c r="AB723">
        <f t="shared" si="107"/>
        <v>0.24628436418249414</v>
      </c>
      <c r="AC723" t="s">
        <v>32</v>
      </c>
      <c r="AD723" t="s">
        <v>33</v>
      </c>
      <c r="AE723" t="s">
        <v>2828</v>
      </c>
    </row>
    <row r="724" spans="1:32">
      <c r="A724" t="s">
        <v>2243</v>
      </c>
      <c r="B724" s="3">
        <v>45483</v>
      </c>
      <c r="C724" t="str">
        <f t="shared" si="100"/>
        <v>July</v>
      </c>
      <c r="D724">
        <f t="shared" si="101"/>
        <v>2024</v>
      </c>
      <c r="E724" s="3">
        <v>45575</v>
      </c>
      <c r="F724">
        <f t="shared" si="99"/>
        <v>92</v>
      </c>
      <c r="G724" t="s">
        <v>2244</v>
      </c>
      <c r="H724" t="s">
        <v>71</v>
      </c>
      <c r="I724" t="s">
        <v>24</v>
      </c>
      <c r="J724" t="s">
        <v>38</v>
      </c>
      <c r="K724" t="s">
        <v>99</v>
      </c>
      <c r="L724" t="s">
        <v>100</v>
      </c>
      <c r="M724" t="s">
        <v>41</v>
      </c>
      <c r="N724" t="s">
        <v>66</v>
      </c>
      <c r="O724" t="s">
        <v>2245</v>
      </c>
      <c r="P724" t="s">
        <v>31</v>
      </c>
      <c r="Q724">
        <v>9</v>
      </c>
      <c r="R724">
        <v>481.51</v>
      </c>
      <c r="S724" s="6">
        <v>0</v>
      </c>
      <c r="T724" s="6">
        <f t="shared" si="102"/>
        <v>0</v>
      </c>
      <c r="U724">
        <v>4333.59</v>
      </c>
      <c r="V724">
        <f t="shared" si="103"/>
        <v>4333.59</v>
      </c>
      <c r="W724" s="6">
        <f t="shared" si="104"/>
        <v>0</v>
      </c>
      <c r="X724">
        <v>2533.59</v>
      </c>
      <c r="Y724">
        <v>1800</v>
      </c>
      <c r="Z724">
        <f t="shared" si="105"/>
        <v>1800</v>
      </c>
      <c r="AA724" s="6">
        <f t="shared" si="106"/>
        <v>0</v>
      </c>
      <c r="AB724">
        <f t="shared" si="107"/>
        <v>0.41536001329152039</v>
      </c>
      <c r="AC724" t="s">
        <v>102</v>
      </c>
      <c r="AD724" t="s">
        <v>68</v>
      </c>
      <c r="AE724" t="s">
        <v>2827</v>
      </c>
      <c r="AF724" t="s">
        <v>2808</v>
      </c>
    </row>
    <row r="725" spans="1:32">
      <c r="A725" t="s">
        <v>2246</v>
      </c>
      <c r="B725" s="3">
        <v>45936</v>
      </c>
      <c r="C725" t="str">
        <f t="shared" si="100"/>
        <v>October</v>
      </c>
      <c r="D725">
        <f t="shared" si="101"/>
        <v>2025</v>
      </c>
      <c r="E725" s="3">
        <v>45943</v>
      </c>
      <c r="F725">
        <f t="shared" si="99"/>
        <v>7</v>
      </c>
      <c r="G725" t="s">
        <v>2247</v>
      </c>
      <c r="H725" t="s">
        <v>264</v>
      </c>
      <c r="I725" t="s">
        <v>95</v>
      </c>
      <c r="J725" t="s">
        <v>38</v>
      </c>
      <c r="K725" t="s">
        <v>228</v>
      </c>
      <c r="L725" t="s">
        <v>229</v>
      </c>
      <c r="M725" t="s">
        <v>74</v>
      </c>
      <c r="N725" t="s">
        <v>75</v>
      </c>
      <c r="O725" t="s">
        <v>2248</v>
      </c>
      <c r="P725" t="s">
        <v>59</v>
      </c>
      <c r="Q725">
        <v>6</v>
      </c>
      <c r="R725">
        <v>2391.9299999999998</v>
      </c>
      <c r="S725" s="6">
        <v>0.05</v>
      </c>
      <c r="T725" s="6">
        <f t="shared" si="102"/>
        <v>0.05</v>
      </c>
      <c r="U725">
        <v>13634</v>
      </c>
      <c r="V725">
        <f t="shared" si="103"/>
        <v>13634.000999999998</v>
      </c>
      <c r="W725" s="6">
        <f t="shared" si="104"/>
        <v>9.9999999838473741E-4</v>
      </c>
      <c r="X725">
        <v>9589.81</v>
      </c>
      <c r="Y725">
        <v>4044.19</v>
      </c>
      <c r="Z725">
        <f t="shared" si="105"/>
        <v>4044.1909999999989</v>
      </c>
      <c r="AA725" s="6">
        <f t="shared" si="106"/>
        <v>9.9999999883948476E-4</v>
      </c>
      <c r="AB725">
        <f t="shared" si="107"/>
        <v>0.29662539998346776</v>
      </c>
      <c r="AC725" t="s">
        <v>155</v>
      </c>
      <c r="AD725" t="s">
        <v>103</v>
      </c>
      <c r="AE725" t="s">
        <v>2827</v>
      </c>
      <c r="AF725" s="10" t="s">
        <v>2821</v>
      </c>
    </row>
    <row r="726" spans="1:32">
      <c r="A726" t="s">
        <v>2249</v>
      </c>
      <c r="B726" s="3">
        <v>45332</v>
      </c>
      <c r="C726" t="str">
        <f t="shared" si="100"/>
        <v>February</v>
      </c>
      <c r="D726">
        <f t="shared" si="101"/>
        <v>2024</v>
      </c>
      <c r="E726" s="3">
        <v>45338</v>
      </c>
      <c r="F726">
        <f t="shared" si="99"/>
        <v>6</v>
      </c>
      <c r="G726" t="s">
        <v>2250</v>
      </c>
      <c r="H726" t="s">
        <v>23</v>
      </c>
      <c r="I726" t="s">
        <v>24</v>
      </c>
      <c r="J726" t="s">
        <v>63</v>
      </c>
      <c r="K726" t="s">
        <v>190</v>
      </c>
      <c r="L726" t="s">
        <v>191</v>
      </c>
      <c r="M726" t="s">
        <v>41</v>
      </c>
      <c r="N726" t="s">
        <v>57</v>
      </c>
      <c r="O726" t="s">
        <v>2251</v>
      </c>
      <c r="P726" t="s">
        <v>31</v>
      </c>
      <c r="Q726">
        <v>3</v>
      </c>
      <c r="R726">
        <v>253.43</v>
      </c>
      <c r="S726" s="6">
        <v>0</v>
      </c>
      <c r="T726" s="6">
        <f t="shared" si="102"/>
        <v>0</v>
      </c>
      <c r="U726">
        <v>760.29</v>
      </c>
      <c r="V726">
        <f t="shared" si="103"/>
        <v>760.29</v>
      </c>
      <c r="W726" s="6">
        <f t="shared" si="104"/>
        <v>0</v>
      </c>
      <c r="X726">
        <v>497.77</v>
      </c>
      <c r="Y726">
        <v>262.52</v>
      </c>
      <c r="Z726">
        <f t="shared" si="105"/>
        <v>262.52</v>
      </c>
      <c r="AA726" s="6">
        <f t="shared" si="106"/>
        <v>0</v>
      </c>
      <c r="AB726">
        <f t="shared" si="107"/>
        <v>0.34528929750489945</v>
      </c>
      <c r="AC726" t="s">
        <v>32</v>
      </c>
      <c r="AD726" t="s">
        <v>33</v>
      </c>
      <c r="AE726" t="s">
        <v>2828</v>
      </c>
    </row>
    <row r="727" spans="1:32">
      <c r="A727" t="s">
        <v>2252</v>
      </c>
      <c r="B727" s="3">
        <v>45935</v>
      </c>
      <c r="C727" t="str">
        <f t="shared" si="100"/>
        <v>October</v>
      </c>
      <c r="D727">
        <f t="shared" si="101"/>
        <v>2025</v>
      </c>
      <c r="E727" s="3">
        <v>46001</v>
      </c>
      <c r="F727">
        <f t="shared" si="99"/>
        <v>66</v>
      </c>
      <c r="G727" t="s">
        <v>2253</v>
      </c>
      <c r="H727" t="s">
        <v>114</v>
      </c>
      <c r="I727" t="s">
        <v>90</v>
      </c>
      <c r="J727" t="s">
        <v>54</v>
      </c>
      <c r="K727" t="s">
        <v>175</v>
      </c>
      <c r="L727" t="s">
        <v>176</v>
      </c>
      <c r="M727" t="s">
        <v>41</v>
      </c>
      <c r="N727" t="s">
        <v>42</v>
      </c>
      <c r="O727" t="s">
        <v>2254</v>
      </c>
      <c r="P727" t="s">
        <v>31</v>
      </c>
      <c r="Q727">
        <v>7</v>
      </c>
      <c r="R727">
        <v>2134.73</v>
      </c>
      <c r="S727" s="6">
        <v>0</v>
      </c>
      <c r="T727" s="6">
        <f t="shared" si="102"/>
        <v>0</v>
      </c>
      <c r="U727">
        <v>14943.11</v>
      </c>
      <c r="V727">
        <f t="shared" si="103"/>
        <v>14943.11</v>
      </c>
      <c r="W727" s="6">
        <f t="shared" si="104"/>
        <v>0</v>
      </c>
      <c r="X727">
        <v>8521.5</v>
      </c>
      <c r="Y727">
        <v>6421.61</v>
      </c>
      <c r="Z727">
        <f t="shared" si="105"/>
        <v>6421.6100000000006</v>
      </c>
      <c r="AA727" s="6">
        <f t="shared" si="106"/>
        <v>0</v>
      </c>
      <c r="AB727">
        <f t="shared" si="107"/>
        <v>0.42973718322357263</v>
      </c>
      <c r="AC727" t="s">
        <v>32</v>
      </c>
      <c r="AD727" t="s">
        <v>33</v>
      </c>
      <c r="AE727" t="s">
        <v>2828</v>
      </c>
    </row>
    <row r="728" spans="1:32">
      <c r="A728" t="s">
        <v>2255</v>
      </c>
      <c r="B728" s="3">
        <v>45308</v>
      </c>
      <c r="C728" t="str">
        <f t="shared" si="100"/>
        <v>January</v>
      </c>
      <c r="D728">
        <f t="shared" si="101"/>
        <v>2024</v>
      </c>
      <c r="E728" s="3">
        <v>45314</v>
      </c>
      <c r="F728">
        <f t="shared" si="99"/>
        <v>6</v>
      </c>
      <c r="G728" t="s">
        <v>2256</v>
      </c>
      <c r="H728" t="s">
        <v>264</v>
      </c>
      <c r="I728" t="s">
        <v>95</v>
      </c>
      <c r="J728" t="s">
        <v>63</v>
      </c>
      <c r="K728" t="s">
        <v>180</v>
      </c>
      <c r="L728" t="s">
        <v>181</v>
      </c>
      <c r="M728" t="s">
        <v>74</v>
      </c>
      <c r="N728" t="s">
        <v>171</v>
      </c>
      <c r="O728" t="s">
        <v>2257</v>
      </c>
      <c r="P728" t="s">
        <v>59</v>
      </c>
      <c r="Q728">
        <v>5</v>
      </c>
      <c r="R728">
        <v>2018</v>
      </c>
      <c r="S728" s="6">
        <v>0.2</v>
      </c>
      <c r="T728" s="6">
        <f t="shared" si="102"/>
        <v>0.2</v>
      </c>
      <c r="U728">
        <v>8072</v>
      </c>
      <c r="V728">
        <f t="shared" si="103"/>
        <v>8072</v>
      </c>
      <c r="W728" s="6">
        <f t="shared" si="104"/>
        <v>0</v>
      </c>
      <c r="X728">
        <v>5379.22</v>
      </c>
      <c r="Y728">
        <v>2692.78</v>
      </c>
      <c r="Z728">
        <f t="shared" si="105"/>
        <v>2692.7799999999997</v>
      </c>
      <c r="AA728" s="6">
        <f t="shared" si="106"/>
        <v>0</v>
      </c>
      <c r="AB728">
        <f t="shared" si="107"/>
        <v>0.33359514370664023</v>
      </c>
      <c r="AC728" t="s">
        <v>111</v>
      </c>
      <c r="AD728" t="s">
        <v>103</v>
      </c>
      <c r="AE728" t="s">
        <v>2827</v>
      </c>
      <c r="AF728" t="s">
        <v>2814</v>
      </c>
    </row>
    <row r="729" spans="1:32">
      <c r="A729" t="s">
        <v>2258</v>
      </c>
      <c r="B729" s="3">
        <v>45578</v>
      </c>
      <c r="C729" t="str">
        <f t="shared" si="100"/>
        <v>October</v>
      </c>
      <c r="D729">
        <f t="shared" si="101"/>
        <v>2024</v>
      </c>
      <c r="E729" s="3">
        <v>45578</v>
      </c>
      <c r="F729">
        <f t="shared" si="99"/>
        <v>0</v>
      </c>
      <c r="G729" t="s">
        <v>2259</v>
      </c>
      <c r="H729" t="s">
        <v>128</v>
      </c>
      <c r="I729" t="s">
        <v>37</v>
      </c>
      <c r="J729" t="s">
        <v>38</v>
      </c>
      <c r="K729" t="s">
        <v>166</v>
      </c>
      <c r="L729" t="s">
        <v>167</v>
      </c>
      <c r="M729" t="s">
        <v>74</v>
      </c>
      <c r="N729" t="s">
        <v>75</v>
      </c>
      <c r="O729" t="s">
        <v>2260</v>
      </c>
      <c r="P729" t="s">
        <v>31</v>
      </c>
      <c r="Q729">
        <v>8</v>
      </c>
      <c r="R729">
        <v>3730.66</v>
      </c>
      <c r="S729" s="6">
        <v>0.05</v>
      </c>
      <c r="T729" s="6">
        <f t="shared" si="102"/>
        <v>0.05</v>
      </c>
      <c r="U729">
        <v>28353.02</v>
      </c>
      <c r="V729">
        <f t="shared" si="103"/>
        <v>28353.015999999996</v>
      </c>
      <c r="W729" s="6">
        <f t="shared" si="104"/>
        <v>-4.0000000044528861E-3</v>
      </c>
      <c r="X729">
        <v>19257.849999999999</v>
      </c>
      <c r="Y729">
        <v>9095.17</v>
      </c>
      <c r="Z729">
        <f t="shared" si="105"/>
        <v>9095.1659999999974</v>
      </c>
      <c r="AA729" s="6">
        <f t="shared" si="106"/>
        <v>-4.0000000026338967E-3</v>
      </c>
      <c r="AB729">
        <f t="shared" si="107"/>
        <v>0.3207830165228277</v>
      </c>
      <c r="AC729" t="s">
        <v>32</v>
      </c>
      <c r="AD729" t="s">
        <v>33</v>
      </c>
      <c r="AE729" t="s">
        <v>2828</v>
      </c>
    </row>
    <row r="730" spans="1:32">
      <c r="A730" t="s">
        <v>2261</v>
      </c>
      <c r="B730" s="3">
        <v>45383</v>
      </c>
      <c r="C730" t="str">
        <f t="shared" si="100"/>
        <v>April</v>
      </c>
      <c r="D730">
        <f t="shared" si="101"/>
        <v>2024</v>
      </c>
      <c r="E730" s="3">
        <v>45474</v>
      </c>
      <c r="F730">
        <f t="shared" si="99"/>
        <v>91</v>
      </c>
      <c r="G730" t="s">
        <v>2262</v>
      </c>
      <c r="H730" t="s">
        <v>132</v>
      </c>
      <c r="I730" t="s">
        <v>37</v>
      </c>
      <c r="J730" t="s">
        <v>54</v>
      </c>
      <c r="K730" t="s">
        <v>175</v>
      </c>
      <c r="L730" t="s">
        <v>176</v>
      </c>
      <c r="M730" t="s">
        <v>74</v>
      </c>
      <c r="N730" t="s">
        <v>274</v>
      </c>
      <c r="O730" t="s">
        <v>2263</v>
      </c>
      <c r="P730" t="s">
        <v>50</v>
      </c>
      <c r="Q730">
        <v>1</v>
      </c>
      <c r="R730">
        <v>2363.02</v>
      </c>
      <c r="S730" s="6">
        <v>0.15</v>
      </c>
      <c r="T730" s="6">
        <f t="shared" si="102"/>
        <v>0.15</v>
      </c>
      <c r="U730">
        <v>2008.57</v>
      </c>
      <c r="V730">
        <f t="shared" si="103"/>
        <v>2008.567</v>
      </c>
      <c r="W730" s="6">
        <f t="shared" si="104"/>
        <v>-2.9999999999290594E-3</v>
      </c>
      <c r="X730">
        <v>1194.83</v>
      </c>
      <c r="Y730">
        <v>813.74</v>
      </c>
      <c r="Z730">
        <f t="shared" si="105"/>
        <v>813.73700000000008</v>
      </c>
      <c r="AA730" s="6">
        <f t="shared" si="106"/>
        <v>-2.9999999999290594E-3</v>
      </c>
      <c r="AB730">
        <f t="shared" si="107"/>
        <v>0.40513311231340554</v>
      </c>
      <c r="AC730" t="s">
        <v>32</v>
      </c>
      <c r="AD730" t="s">
        <v>33</v>
      </c>
      <c r="AE730" t="s">
        <v>2828</v>
      </c>
    </row>
    <row r="731" spans="1:32">
      <c r="A731" t="s">
        <v>2264</v>
      </c>
      <c r="B731" s="3">
        <v>45794</v>
      </c>
      <c r="C731" t="str">
        <f t="shared" si="100"/>
        <v>May</v>
      </c>
      <c r="D731">
        <f t="shared" si="101"/>
        <v>2025</v>
      </c>
      <c r="E731" s="3">
        <v>45802</v>
      </c>
      <c r="F731">
        <f t="shared" si="99"/>
        <v>8</v>
      </c>
      <c r="G731" t="s">
        <v>2265</v>
      </c>
      <c r="H731" t="s">
        <v>62</v>
      </c>
      <c r="I731" t="s">
        <v>90</v>
      </c>
      <c r="J731" t="s">
        <v>54</v>
      </c>
      <c r="K731" t="s">
        <v>247</v>
      </c>
      <c r="L731" t="s">
        <v>248</v>
      </c>
      <c r="M731" t="s">
        <v>74</v>
      </c>
      <c r="N731" t="s">
        <v>274</v>
      </c>
      <c r="O731" t="s">
        <v>2266</v>
      </c>
      <c r="P731" t="s">
        <v>44</v>
      </c>
      <c r="Q731">
        <v>6</v>
      </c>
      <c r="R731">
        <v>1810.63</v>
      </c>
      <c r="S731" s="6">
        <v>0.15</v>
      </c>
      <c r="T731" s="6">
        <f t="shared" si="102"/>
        <v>0.15</v>
      </c>
      <c r="U731">
        <v>9234.2099999999991</v>
      </c>
      <c r="V731">
        <f t="shared" si="103"/>
        <v>9234.2129999999997</v>
      </c>
      <c r="W731" s="6">
        <f t="shared" si="104"/>
        <v>3.0000000006111804E-3</v>
      </c>
      <c r="X731">
        <v>5516.52</v>
      </c>
      <c r="Y731">
        <v>3717.69</v>
      </c>
      <c r="Z731">
        <f t="shared" si="105"/>
        <v>3717.6929999999993</v>
      </c>
      <c r="AA731" s="6">
        <f t="shared" si="106"/>
        <v>2.9999999992469384E-3</v>
      </c>
      <c r="AB731">
        <f t="shared" si="107"/>
        <v>0.40259987505161504</v>
      </c>
      <c r="AC731" t="s">
        <v>32</v>
      </c>
      <c r="AD731" t="s">
        <v>33</v>
      </c>
      <c r="AE731" t="s">
        <v>2828</v>
      </c>
    </row>
    <row r="732" spans="1:32">
      <c r="A732" t="s">
        <v>2267</v>
      </c>
      <c r="B732" s="3">
        <v>45827</v>
      </c>
      <c r="C732" t="str">
        <f t="shared" si="100"/>
        <v>June</v>
      </c>
      <c r="D732">
        <f t="shared" si="101"/>
        <v>2025</v>
      </c>
      <c r="E732" s="3">
        <v>45832</v>
      </c>
      <c r="F732">
        <f t="shared" si="99"/>
        <v>5</v>
      </c>
      <c r="G732" t="s">
        <v>2268</v>
      </c>
      <c r="H732" t="s">
        <v>53</v>
      </c>
      <c r="I732" t="s">
        <v>24</v>
      </c>
      <c r="J732" t="s">
        <v>38</v>
      </c>
      <c r="K732" t="s">
        <v>99</v>
      </c>
      <c r="L732" t="s">
        <v>100</v>
      </c>
      <c r="M732" t="s">
        <v>28</v>
      </c>
      <c r="N732" t="s">
        <v>48</v>
      </c>
      <c r="O732" t="s">
        <v>2269</v>
      </c>
      <c r="P732" t="s">
        <v>31</v>
      </c>
      <c r="Q732">
        <v>4</v>
      </c>
      <c r="R732">
        <v>782.01</v>
      </c>
      <c r="S732" s="6">
        <v>0.15</v>
      </c>
      <c r="T732" s="6">
        <f t="shared" si="102"/>
        <v>0.15</v>
      </c>
      <c r="U732">
        <v>2658.83</v>
      </c>
      <c r="V732">
        <f t="shared" si="103"/>
        <v>2658.8339999999998</v>
      </c>
      <c r="W732" s="6">
        <f t="shared" si="104"/>
        <v>3.9999999999054126E-3</v>
      </c>
      <c r="X732">
        <v>2226.9699999999998</v>
      </c>
      <c r="Y732">
        <v>431.86</v>
      </c>
      <c r="Z732">
        <f t="shared" si="105"/>
        <v>431.86400000000003</v>
      </c>
      <c r="AA732" s="6">
        <f t="shared" si="106"/>
        <v>4.0000000000190994E-3</v>
      </c>
      <c r="AB732">
        <f t="shared" si="107"/>
        <v>0.16242608602116568</v>
      </c>
      <c r="AC732" t="s">
        <v>102</v>
      </c>
      <c r="AD732" t="s">
        <v>103</v>
      </c>
      <c r="AE732" t="s">
        <v>2827</v>
      </c>
      <c r="AF732" t="s">
        <v>2807</v>
      </c>
    </row>
    <row r="733" spans="1:32">
      <c r="A733" t="s">
        <v>2270</v>
      </c>
      <c r="B733" s="3">
        <v>45368</v>
      </c>
      <c r="C733" t="str">
        <f t="shared" si="100"/>
        <v>March</v>
      </c>
      <c r="D733">
        <f t="shared" si="101"/>
        <v>2024</v>
      </c>
      <c r="E733" s="3">
        <v>45370</v>
      </c>
      <c r="F733">
        <f t="shared" si="99"/>
        <v>2</v>
      </c>
      <c r="G733" t="s">
        <v>2271</v>
      </c>
      <c r="H733" t="s">
        <v>62</v>
      </c>
      <c r="I733" t="s">
        <v>90</v>
      </c>
      <c r="J733" t="s">
        <v>38</v>
      </c>
      <c r="K733" t="s">
        <v>39</v>
      </c>
      <c r="L733" t="s">
        <v>40</v>
      </c>
      <c r="M733" t="s">
        <v>28</v>
      </c>
      <c r="N733" t="s">
        <v>153</v>
      </c>
      <c r="O733" t="s">
        <v>2272</v>
      </c>
      <c r="P733" t="s">
        <v>50</v>
      </c>
      <c r="Q733">
        <v>4</v>
      </c>
      <c r="R733">
        <v>4376.68</v>
      </c>
      <c r="S733" s="6">
        <v>0.1</v>
      </c>
      <c r="T733" s="6">
        <f t="shared" si="102"/>
        <v>0.1</v>
      </c>
      <c r="U733">
        <v>15756.05</v>
      </c>
      <c r="V733">
        <f t="shared" si="103"/>
        <v>15756.048000000001</v>
      </c>
      <c r="W733" s="6">
        <f t="shared" si="104"/>
        <v>-1.9999999985884642E-3</v>
      </c>
      <c r="X733">
        <v>10245.44</v>
      </c>
      <c r="Y733">
        <v>5510.61</v>
      </c>
      <c r="Z733">
        <f t="shared" si="105"/>
        <v>5510.6080000000002</v>
      </c>
      <c r="AA733" s="6">
        <f t="shared" si="106"/>
        <v>-1.9999999994979589E-3</v>
      </c>
      <c r="AB733">
        <f t="shared" si="107"/>
        <v>0.3497455707167178</v>
      </c>
      <c r="AC733" t="s">
        <v>32</v>
      </c>
      <c r="AD733" t="s">
        <v>33</v>
      </c>
      <c r="AE733" t="s">
        <v>2828</v>
      </c>
    </row>
    <row r="734" spans="1:32">
      <c r="A734" t="s">
        <v>2273</v>
      </c>
      <c r="B734" s="3">
        <v>45624</v>
      </c>
      <c r="C734" t="str">
        <f t="shared" si="100"/>
        <v>November</v>
      </c>
      <c r="D734">
        <f t="shared" si="101"/>
        <v>2024</v>
      </c>
      <c r="E734" s="3">
        <v>45455</v>
      </c>
      <c r="F734">
        <f t="shared" si="99"/>
        <v>-169</v>
      </c>
      <c r="G734" t="s">
        <v>2274</v>
      </c>
      <c r="H734" t="s">
        <v>53</v>
      </c>
      <c r="I734" t="s">
        <v>37</v>
      </c>
      <c r="J734" t="s">
        <v>25</v>
      </c>
      <c r="K734" t="s">
        <v>122</v>
      </c>
      <c r="L734" t="s">
        <v>123</v>
      </c>
      <c r="M734" t="s">
        <v>74</v>
      </c>
      <c r="N734" t="s">
        <v>171</v>
      </c>
      <c r="O734" t="s">
        <v>2275</v>
      </c>
      <c r="P734" t="s">
        <v>59</v>
      </c>
      <c r="Q734">
        <v>6</v>
      </c>
      <c r="R734">
        <v>2464.63</v>
      </c>
      <c r="S734" s="6">
        <v>0</v>
      </c>
      <c r="T734" s="6">
        <f t="shared" si="102"/>
        <v>0</v>
      </c>
      <c r="U734">
        <v>14787.78</v>
      </c>
      <c r="V734">
        <f t="shared" si="103"/>
        <v>14787.78</v>
      </c>
      <c r="W734" s="6">
        <f t="shared" si="104"/>
        <v>0</v>
      </c>
      <c r="X734">
        <v>8596.65</v>
      </c>
      <c r="Y734">
        <v>6191.13</v>
      </c>
      <c r="Z734">
        <f t="shared" si="105"/>
        <v>6191.130000000001</v>
      </c>
      <c r="AA734" s="6">
        <f t="shared" si="106"/>
        <v>0</v>
      </c>
      <c r="AB734">
        <f t="shared" si="107"/>
        <v>0.41866527632950995</v>
      </c>
      <c r="AC734" t="s">
        <v>32</v>
      </c>
      <c r="AD734" t="s">
        <v>33</v>
      </c>
      <c r="AE734" t="s">
        <v>2826</v>
      </c>
      <c r="AF734" s="10" t="s">
        <v>2790</v>
      </c>
    </row>
    <row r="735" spans="1:32">
      <c r="A735" t="s">
        <v>2276</v>
      </c>
      <c r="B735" s="3">
        <v>45464</v>
      </c>
      <c r="C735" t="str">
        <f t="shared" si="100"/>
        <v>June</v>
      </c>
      <c r="D735">
        <f t="shared" si="101"/>
        <v>2024</v>
      </c>
      <c r="E735" s="3">
        <v>45471</v>
      </c>
      <c r="F735">
        <f t="shared" si="99"/>
        <v>7</v>
      </c>
      <c r="G735" t="s">
        <v>2277</v>
      </c>
      <c r="H735" t="s">
        <v>128</v>
      </c>
      <c r="I735" t="s">
        <v>95</v>
      </c>
      <c r="J735" t="s">
        <v>25</v>
      </c>
      <c r="K735" t="s">
        <v>26</v>
      </c>
      <c r="L735" t="s">
        <v>27</v>
      </c>
      <c r="M735" t="s">
        <v>41</v>
      </c>
      <c r="N735" t="s">
        <v>57</v>
      </c>
      <c r="O735" t="s">
        <v>2278</v>
      </c>
      <c r="P735" t="s">
        <v>50</v>
      </c>
      <c r="Q735">
        <v>9</v>
      </c>
      <c r="R735">
        <v>2797.96</v>
      </c>
      <c r="S735" s="6">
        <v>0</v>
      </c>
      <c r="T735" s="6">
        <f t="shared" si="102"/>
        <v>0</v>
      </c>
      <c r="U735">
        <v>25181.64</v>
      </c>
      <c r="V735">
        <f t="shared" si="103"/>
        <v>25181.64</v>
      </c>
      <c r="W735" s="6">
        <f t="shared" si="104"/>
        <v>0</v>
      </c>
      <c r="X735">
        <v>15337.9</v>
      </c>
      <c r="Y735">
        <v>9843.74</v>
      </c>
      <c r="Z735">
        <f t="shared" si="105"/>
        <v>9843.74</v>
      </c>
      <c r="AA735" s="6">
        <f t="shared" si="106"/>
        <v>0</v>
      </c>
      <c r="AB735">
        <f t="shared" si="107"/>
        <v>0.39090940860086953</v>
      </c>
      <c r="AC735" t="s">
        <v>32</v>
      </c>
      <c r="AD735" t="s">
        <v>33</v>
      </c>
      <c r="AE735" t="s">
        <v>2828</v>
      </c>
    </row>
    <row r="736" spans="1:32">
      <c r="A736" t="s">
        <v>2279</v>
      </c>
      <c r="B736" s="3">
        <v>45528</v>
      </c>
      <c r="C736" t="str">
        <f t="shared" si="100"/>
        <v>August</v>
      </c>
      <c r="D736">
        <f t="shared" si="101"/>
        <v>2024</v>
      </c>
      <c r="E736" s="3">
        <v>45528</v>
      </c>
      <c r="F736">
        <f t="shared" si="99"/>
        <v>0</v>
      </c>
      <c r="G736" t="s">
        <v>2280</v>
      </c>
      <c r="H736" t="s">
        <v>62</v>
      </c>
      <c r="I736" t="s">
        <v>37</v>
      </c>
      <c r="J736" t="s">
        <v>25</v>
      </c>
      <c r="K736" t="s">
        <v>26</v>
      </c>
      <c r="L736" t="s">
        <v>27</v>
      </c>
      <c r="M736" t="s">
        <v>74</v>
      </c>
      <c r="N736" t="s">
        <v>75</v>
      </c>
      <c r="O736" t="s">
        <v>2281</v>
      </c>
      <c r="P736" t="s">
        <v>50</v>
      </c>
      <c r="Q736">
        <v>4</v>
      </c>
      <c r="R736">
        <v>2761.86</v>
      </c>
      <c r="S736" s="6">
        <v>0.2</v>
      </c>
      <c r="T736" s="6">
        <f t="shared" si="102"/>
        <v>0.2</v>
      </c>
      <c r="U736">
        <v>8837.9500000000007</v>
      </c>
      <c r="V736">
        <f t="shared" si="103"/>
        <v>8837.9520000000011</v>
      </c>
      <c r="W736" s="6">
        <f t="shared" si="104"/>
        <v>2.0000000004074536E-3</v>
      </c>
      <c r="X736">
        <v>6157.27</v>
      </c>
      <c r="Y736">
        <v>2680.68</v>
      </c>
      <c r="Z736">
        <f t="shared" si="105"/>
        <v>2680.6820000000007</v>
      </c>
      <c r="AA736" s="6">
        <f t="shared" si="106"/>
        <v>2.000000000862201E-3</v>
      </c>
      <c r="AB736">
        <f t="shared" si="107"/>
        <v>0.30331484036120587</v>
      </c>
      <c r="AC736" t="s">
        <v>32</v>
      </c>
      <c r="AD736" t="s">
        <v>33</v>
      </c>
      <c r="AE736" t="s">
        <v>2828</v>
      </c>
    </row>
    <row r="737" spans="1:32">
      <c r="A737" t="s">
        <v>2282</v>
      </c>
      <c r="B737" s="3">
        <v>45604</v>
      </c>
      <c r="C737" t="str">
        <f t="shared" si="100"/>
        <v>November</v>
      </c>
      <c r="D737">
        <f t="shared" si="101"/>
        <v>2024</v>
      </c>
      <c r="E737" s="3">
        <v>45523</v>
      </c>
      <c r="F737">
        <f t="shared" si="99"/>
        <v>-81</v>
      </c>
      <c r="G737" t="s">
        <v>2283</v>
      </c>
      <c r="H737" t="s">
        <v>36</v>
      </c>
      <c r="I737" t="s">
        <v>24</v>
      </c>
      <c r="J737" t="s">
        <v>63</v>
      </c>
      <c r="K737" t="s">
        <v>64</v>
      </c>
      <c r="L737" t="s">
        <v>65</v>
      </c>
      <c r="M737" t="s">
        <v>41</v>
      </c>
      <c r="N737" t="s">
        <v>42</v>
      </c>
      <c r="O737" t="s">
        <v>2284</v>
      </c>
      <c r="P737" t="s">
        <v>59</v>
      </c>
      <c r="Q737">
        <v>6</v>
      </c>
      <c r="R737">
        <v>1515.79</v>
      </c>
      <c r="S737" s="6">
        <v>0.2</v>
      </c>
      <c r="T737" s="6">
        <f t="shared" si="102"/>
        <v>0.2</v>
      </c>
      <c r="U737">
        <v>7275.79</v>
      </c>
      <c r="V737">
        <f t="shared" si="103"/>
        <v>7275.7920000000004</v>
      </c>
      <c r="W737" s="6">
        <f t="shared" si="104"/>
        <v>2.0000000004074536E-3</v>
      </c>
      <c r="X737">
        <v>6152.87</v>
      </c>
      <c r="Y737">
        <v>1122.92</v>
      </c>
      <c r="Z737">
        <f t="shared" si="105"/>
        <v>1122.9220000000005</v>
      </c>
      <c r="AA737" s="6">
        <f t="shared" si="106"/>
        <v>2.0000000004074536E-3</v>
      </c>
      <c r="AB737">
        <f t="shared" si="107"/>
        <v>0.15433673749881804</v>
      </c>
      <c r="AC737" t="s">
        <v>32</v>
      </c>
      <c r="AD737" t="s">
        <v>33</v>
      </c>
      <c r="AE737" t="s">
        <v>2826</v>
      </c>
      <c r="AF737" s="10" t="s">
        <v>2790</v>
      </c>
    </row>
    <row r="738" spans="1:32">
      <c r="A738" t="s">
        <v>2285</v>
      </c>
      <c r="B738" s="3">
        <v>45455</v>
      </c>
      <c r="C738" t="str">
        <f t="shared" si="100"/>
        <v>June</v>
      </c>
      <c r="D738">
        <f t="shared" si="101"/>
        <v>2024</v>
      </c>
      <c r="E738" s="3">
        <v>45547</v>
      </c>
      <c r="F738">
        <f t="shared" si="99"/>
        <v>92</v>
      </c>
      <c r="G738" t="s">
        <v>2286</v>
      </c>
      <c r="H738" t="s">
        <v>89</v>
      </c>
      <c r="I738" t="s">
        <v>24</v>
      </c>
      <c r="J738" t="s">
        <v>63</v>
      </c>
      <c r="K738" t="s">
        <v>64</v>
      </c>
      <c r="L738" t="s">
        <v>65</v>
      </c>
      <c r="M738" t="s">
        <v>41</v>
      </c>
      <c r="N738" t="s">
        <v>66</v>
      </c>
      <c r="O738" t="s">
        <v>2287</v>
      </c>
      <c r="P738" t="s">
        <v>31</v>
      </c>
      <c r="Q738">
        <v>9</v>
      </c>
      <c r="R738">
        <v>290.75</v>
      </c>
      <c r="S738" s="6">
        <v>0.1</v>
      </c>
      <c r="T738" s="6">
        <f t="shared" si="102"/>
        <v>0.1</v>
      </c>
      <c r="U738">
        <v>2355.08</v>
      </c>
      <c r="V738">
        <f t="shared" si="103"/>
        <v>2355.0750000000003</v>
      </c>
      <c r="W738" s="6">
        <f t="shared" si="104"/>
        <v>-4.999999999654392E-3</v>
      </c>
      <c r="X738">
        <v>1350.03</v>
      </c>
      <c r="Y738">
        <v>1005.05</v>
      </c>
      <c r="Z738">
        <f t="shared" si="105"/>
        <v>1005.0450000000003</v>
      </c>
      <c r="AA738" s="6">
        <f t="shared" si="106"/>
        <v>-4.999999999654392E-3</v>
      </c>
      <c r="AB738">
        <f t="shared" si="107"/>
        <v>0.42675710964618968</v>
      </c>
      <c r="AC738" t="s">
        <v>32</v>
      </c>
      <c r="AD738" t="s">
        <v>33</v>
      </c>
      <c r="AE738" t="s">
        <v>2828</v>
      </c>
    </row>
    <row r="739" spans="1:32">
      <c r="A739" t="s">
        <v>2288</v>
      </c>
      <c r="B739" s="3">
        <v>45567</v>
      </c>
      <c r="C739" t="str">
        <f t="shared" si="100"/>
        <v>October</v>
      </c>
      <c r="D739">
        <f t="shared" si="101"/>
        <v>2024</v>
      </c>
      <c r="E739" s="3">
        <v>45567</v>
      </c>
      <c r="F739">
        <f t="shared" si="99"/>
        <v>0</v>
      </c>
      <c r="G739" t="s">
        <v>2289</v>
      </c>
      <c r="H739" t="s">
        <v>47</v>
      </c>
      <c r="I739" t="s">
        <v>95</v>
      </c>
      <c r="J739" t="s">
        <v>63</v>
      </c>
      <c r="K739" t="s">
        <v>64</v>
      </c>
      <c r="L739" t="s">
        <v>65</v>
      </c>
      <c r="M739" t="s">
        <v>41</v>
      </c>
      <c r="N739" t="s">
        <v>66</v>
      </c>
      <c r="O739" t="s">
        <v>2290</v>
      </c>
      <c r="P739" t="s">
        <v>44</v>
      </c>
      <c r="Q739">
        <v>6</v>
      </c>
      <c r="R739">
        <v>601.52</v>
      </c>
      <c r="S739" s="6">
        <v>0</v>
      </c>
      <c r="T739" s="6">
        <f t="shared" si="102"/>
        <v>0</v>
      </c>
      <c r="U739">
        <v>3609.12</v>
      </c>
      <c r="V739">
        <f t="shared" si="103"/>
        <v>3609.12</v>
      </c>
      <c r="W739" s="6">
        <f t="shared" si="104"/>
        <v>0</v>
      </c>
      <c r="X739">
        <v>2645.5</v>
      </c>
      <c r="Y739">
        <v>963.62</v>
      </c>
      <c r="Z739">
        <f t="shared" si="105"/>
        <v>963.61999999999989</v>
      </c>
      <c r="AA739" s="6">
        <f t="shared" si="106"/>
        <v>0</v>
      </c>
      <c r="AB739">
        <f t="shared" si="107"/>
        <v>0.2669958327791816</v>
      </c>
      <c r="AC739" t="s">
        <v>32</v>
      </c>
      <c r="AD739" t="s">
        <v>33</v>
      </c>
      <c r="AE739" t="s">
        <v>2828</v>
      </c>
    </row>
    <row r="740" spans="1:32">
      <c r="A740" t="s">
        <v>2291</v>
      </c>
      <c r="B740" s="3">
        <v>45708</v>
      </c>
      <c r="C740" t="str">
        <f t="shared" si="100"/>
        <v>February</v>
      </c>
      <c r="D740">
        <f t="shared" si="101"/>
        <v>2025</v>
      </c>
      <c r="E740" s="3">
        <v>45710</v>
      </c>
      <c r="F740">
        <f t="shared" si="99"/>
        <v>2</v>
      </c>
      <c r="G740" t="s">
        <v>2292</v>
      </c>
      <c r="H740" t="s">
        <v>114</v>
      </c>
      <c r="I740" t="s">
        <v>90</v>
      </c>
      <c r="J740" t="s">
        <v>54</v>
      </c>
      <c r="K740" t="s">
        <v>185</v>
      </c>
      <c r="L740" t="s">
        <v>186</v>
      </c>
      <c r="M740" t="s">
        <v>28</v>
      </c>
      <c r="N740" t="s">
        <v>29</v>
      </c>
      <c r="O740" t="s">
        <v>2293</v>
      </c>
      <c r="P740" t="s">
        <v>50</v>
      </c>
      <c r="Q740">
        <v>1</v>
      </c>
      <c r="R740">
        <v>2188.19</v>
      </c>
      <c r="S740" s="6">
        <v>0</v>
      </c>
      <c r="T740" s="6">
        <f t="shared" si="102"/>
        <v>0</v>
      </c>
      <c r="U740">
        <v>2188.19</v>
      </c>
      <c r="V740">
        <f t="shared" si="103"/>
        <v>2188.19</v>
      </c>
      <c r="W740" s="6">
        <f t="shared" si="104"/>
        <v>0</v>
      </c>
      <c r="X740">
        <v>1298.8399999999999</v>
      </c>
      <c r="Y740">
        <v>889.35</v>
      </c>
      <c r="Z740">
        <f t="shared" si="105"/>
        <v>889.35000000000014</v>
      </c>
      <c r="AA740" s="6">
        <f t="shared" si="106"/>
        <v>0</v>
      </c>
      <c r="AB740">
        <f t="shared" si="107"/>
        <v>0.40643179979800664</v>
      </c>
      <c r="AC740" t="s">
        <v>32</v>
      </c>
      <c r="AD740" t="s">
        <v>33</v>
      </c>
      <c r="AE740" t="s">
        <v>2828</v>
      </c>
    </row>
    <row r="741" spans="1:32">
      <c r="A741" t="s">
        <v>2294</v>
      </c>
      <c r="B741" s="3">
        <v>45363</v>
      </c>
      <c r="C741" t="str">
        <f t="shared" si="100"/>
        <v>March</v>
      </c>
      <c r="D741">
        <f t="shared" si="101"/>
        <v>2024</v>
      </c>
      <c r="E741" s="3">
        <v>45636</v>
      </c>
      <c r="F741">
        <f t="shared" si="99"/>
        <v>273</v>
      </c>
      <c r="G741" t="s">
        <v>2295</v>
      </c>
      <c r="H741" t="s">
        <v>79</v>
      </c>
      <c r="I741" t="s">
        <v>90</v>
      </c>
      <c r="J741" t="s">
        <v>25</v>
      </c>
      <c r="K741" t="s">
        <v>26</v>
      </c>
      <c r="L741" t="s">
        <v>27</v>
      </c>
      <c r="M741" t="s">
        <v>74</v>
      </c>
      <c r="N741" t="s">
        <v>171</v>
      </c>
      <c r="O741" t="s">
        <v>2296</v>
      </c>
      <c r="P741" t="s">
        <v>59</v>
      </c>
      <c r="Q741">
        <v>5</v>
      </c>
      <c r="R741">
        <v>2393.86</v>
      </c>
      <c r="S741" s="6">
        <v>0.05</v>
      </c>
      <c r="T741" s="6">
        <f t="shared" si="102"/>
        <v>0.05</v>
      </c>
      <c r="U741">
        <v>11370.84</v>
      </c>
      <c r="V741">
        <f t="shared" si="103"/>
        <v>11370.835000000001</v>
      </c>
      <c r="W741" s="6">
        <f t="shared" si="104"/>
        <v>-4.9999999991996447E-3</v>
      </c>
      <c r="X741">
        <v>7469.58</v>
      </c>
      <c r="Y741">
        <v>3901.26</v>
      </c>
      <c r="Z741">
        <f t="shared" si="105"/>
        <v>3901.255000000001</v>
      </c>
      <c r="AA741" s="6">
        <f t="shared" si="106"/>
        <v>-4.9999999991996447E-3</v>
      </c>
      <c r="AB741">
        <f t="shared" si="107"/>
        <v>0.34309309738466881</v>
      </c>
      <c r="AC741" t="s">
        <v>32</v>
      </c>
      <c r="AD741" t="s">
        <v>33</v>
      </c>
      <c r="AE741" t="s">
        <v>2828</v>
      </c>
    </row>
    <row r="742" spans="1:32">
      <c r="A742" t="s">
        <v>2297</v>
      </c>
      <c r="B742" s="3">
        <v>45326</v>
      </c>
      <c r="C742" t="str">
        <f t="shared" si="100"/>
        <v>February</v>
      </c>
      <c r="D742">
        <f t="shared" si="101"/>
        <v>2024</v>
      </c>
      <c r="E742" s="3">
        <v>45384</v>
      </c>
      <c r="F742">
        <f t="shared" si="99"/>
        <v>58</v>
      </c>
      <c r="G742" t="s">
        <v>521</v>
      </c>
      <c r="H742" t="s">
        <v>132</v>
      </c>
      <c r="I742" t="s">
        <v>37</v>
      </c>
      <c r="J742" t="s">
        <v>63</v>
      </c>
      <c r="K742" t="s">
        <v>64</v>
      </c>
      <c r="L742" t="s">
        <v>65</v>
      </c>
      <c r="M742" t="s">
        <v>41</v>
      </c>
      <c r="N742" t="s">
        <v>66</v>
      </c>
      <c r="O742" t="s">
        <v>2298</v>
      </c>
      <c r="P742" t="s">
        <v>50</v>
      </c>
      <c r="Q742">
        <v>4</v>
      </c>
      <c r="R742">
        <v>2583</v>
      </c>
      <c r="S742" s="6">
        <v>0.1</v>
      </c>
      <c r="T742" s="6">
        <f t="shared" si="102"/>
        <v>0.1</v>
      </c>
      <c r="U742">
        <v>9298.7999999999993</v>
      </c>
      <c r="V742">
        <f t="shared" si="103"/>
        <v>9298.8000000000011</v>
      </c>
      <c r="W742" s="6">
        <f t="shared" si="104"/>
        <v>0</v>
      </c>
      <c r="X742">
        <v>6548.5</v>
      </c>
      <c r="Y742">
        <v>2750.3</v>
      </c>
      <c r="Z742">
        <f t="shared" si="105"/>
        <v>2750.3000000000011</v>
      </c>
      <c r="AA742" s="6">
        <f t="shared" si="106"/>
        <v>0</v>
      </c>
      <c r="AB742">
        <f t="shared" si="107"/>
        <v>0.29576934658235482</v>
      </c>
      <c r="AC742" t="s">
        <v>32</v>
      </c>
      <c r="AD742" t="s">
        <v>33</v>
      </c>
      <c r="AE742" t="s">
        <v>2828</v>
      </c>
    </row>
    <row r="743" spans="1:32">
      <c r="A743" t="s">
        <v>2299</v>
      </c>
      <c r="B743" s="3">
        <v>45770</v>
      </c>
      <c r="C743" t="str">
        <f t="shared" si="100"/>
        <v>April</v>
      </c>
      <c r="D743">
        <f t="shared" si="101"/>
        <v>2025</v>
      </c>
      <c r="E743" s="3">
        <v>45772</v>
      </c>
      <c r="F743">
        <f t="shared" si="99"/>
        <v>2</v>
      </c>
      <c r="G743" t="s">
        <v>2300</v>
      </c>
      <c r="H743" t="s">
        <v>47</v>
      </c>
      <c r="I743" t="s">
        <v>95</v>
      </c>
      <c r="J743" t="s">
        <v>54</v>
      </c>
      <c r="K743" t="s">
        <v>247</v>
      </c>
      <c r="L743" t="s">
        <v>248</v>
      </c>
      <c r="M743" t="s">
        <v>41</v>
      </c>
      <c r="N743" t="s">
        <v>66</v>
      </c>
      <c r="O743" t="s">
        <v>2301</v>
      </c>
      <c r="P743" t="s">
        <v>31</v>
      </c>
      <c r="Q743">
        <v>3</v>
      </c>
      <c r="R743">
        <v>2951.12</v>
      </c>
      <c r="S743" s="6">
        <v>0</v>
      </c>
      <c r="T743" s="6">
        <f t="shared" si="102"/>
        <v>0</v>
      </c>
      <c r="U743">
        <v>7082.69</v>
      </c>
      <c r="V743">
        <f t="shared" si="103"/>
        <v>8853.36</v>
      </c>
      <c r="W743" s="6">
        <f t="shared" si="104"/>
        <v>1770.670000000001</v>
      </c>
      <c r="X743">
        <v>5596.34</v>
      </c>
      <c r="Y743">
        <v>1486.35</v>
      </c>
      <c r="Z743">
        <f t="shared" si="105"/>
        <v>3257.0200000000004</v>
      </c>
      <c r="AA743" s="6">
        <f t="shared" si="106"/>
        <v>1770.6700000000005</v>
      </c>
      <c r="AB743">
        <f t="shared" si="107"/>
        <v>0.36788518709280998</v>
      </c>
      <c r="AC743" t="s">
        <v>32</v>
      </c>
      <c r="AD743" t="s">
        <v>68</v>
      </c>
      <c r="AE743" t="s">
        <v>2827</v>
      </c>
      <c r="AF743" t="s">
        <v>2795</v>
      </c>
    </row>
    <row r="744" spans="1:32">
      <c r="A744" t="s">
        <v>2302</v>
      </c>
      <c r="B744" s="3">
        <v>45580</v>
      </c>
      <c r="C744" t="str">
        <f t="shared" si="100"/>
        <v>October</v>
      </c>
      <c r="D744">
        <f t="shared" si="101"/>
        <v>2024</v>
      </c>
      <c r="E744" s="3">
        <v>45587</v>
      </c>
      <c r="F744">
        <f t="shared" si="99"/>
        <v>7</v>
      </c>
      <c r="G744" t="s">
        <v>2303</v>
      </c>
      <c r="H744" t="s">
        <v>23</v>
      </c>
      <c r="I744" t="s">
        <v>90</v>
      </c>
      <c r="J744" t="s">
        <v>38</v>
      </c>
      <c r="K744" t="s">
        <v>39</v>
      </c>
      <c r="L744" t="s">
        <v>40</v>
      </c>
      <c r="M744" t="s">
        <v>28</v>
      </c>
      <c r="N744" t="s">
        <v>29</v>
      </c>
      <c r="O744" t="s">
        <v>2304</v>
      </c>
      <c r="P744" t="s">
        <v>59</v>
      </c>
      <c r="Q744">
        <v>4</v>
      </c>
      <c r="R744">
        <v>2260.9499999999998</v>
      </c>
      <c r="S744" s="6">
        <v>0</v>
      </c>
      <c r="T744" s="6">
        <f t="shared" si="102"/>
        <v>0</v>
      </c>
      <c r="U744">
        <v>9043.7999999999993</v>
      </c>
      <c r="V744">
        <f t="shared" si="103"/>
        <v>9043.7999999999993</v>
      </c>
      <c r="W744" s="6">
        <f t="shared" si="104"/>
        <v>0</v>
      </c>
      <c r="X744">
        <v>5913.38</v>
      </c>
      <c r="Y744">
        <v>3130.42</v>
      </c>
      <c r="Z744">
        <f t="shared" si="105"/>
        <v>3130.4199999999992</v>
      </c>
      <c r="AA744" s="6">
        <f t="shared" si="106"/>
        <v>0</v>
      </c>
      <c r="AB744">
        <f t="shared" si="107"/>
        <v>0.34613989694597397</v>
      </c>
      <c r="AC744" t="s">
        <v>32</v>
      </c>
      <c r="AD744" t="s">
        <v>33</v>
      </c>
      <c r="AE744" t="s">
        <v>2828</v>
      </c>
    </row>
    <row r="745" spans="1:32">
      <c r="A745" t="s">
        <v>2305</v>
      </c>
      <c r="B745" s="3">
        <v>45700</v>
      </c>
      <c r="C745" t="str">
        <f t="shared" si="100"/>
        <v>February</v>
      </c>
      <c r="D745">
        <f t="shared" si="101"/>
        <v>2025</v>
      </c>
      <c r="E745" s="3">
        <v>45702</v>
      </c>
      <c r="F745">
        <f t="shared" si="99"/>
        <v>2</v>
      </c>
      <c r="G745" t="s">
        <v>2306</v>
      </c>
      <c r="H745" t="s">
        <v>132</v>
      </c>
      <c r="I745" t="s">
        <v>24</v>
      </c>
      <c r="J745" t="s">
        <v>25</v>
      </c>
      <c r="K745" t="s">
        <v>136</v>
      </c>
      <c r="L745" t="s">
        <v>137</v>
      </c>
      <c r="M745" t="s">
        <v>28</v>
      </c>
      <c r="N745" t="s">
        <v>48</v>
      </c>
      <c r="O745" t="s">
        <v>2307</v>
      </c>
      <c r="P745" t="s">
        <v>59</v>
      </c>
      <c r="Q745">
        <v>6</v>
      </c>
      <c r="R745">
        <v>491.4</v>
      </c>
      <c r="S745" s="6">
        <v>0.25</v>
      </c>
      <c r="T745" s="6">
        <f t="shared" si="102"/>
        <v>0.25</v>
      </c>
      <c r="U745">
        <v>2211.3000000000002</v>
      </c>
      <c r="V745">
        <f t="shared" si="103"/>
        <v>2211.2999999999997</v>
      </c>
      <c r="W745" s="6">
        <f t="shared" si="104"/>
        <v>0</v>
      </c>
      <c r="X745">
        <v>1735.64</v>
      </c>
      <c r="Y745">
        <v>475.66</v>
      </c>
      <c r="Z745">
        <f t="shared" si="105"/>
        <v>475.65999999999963</v>
      </c>
      <c r="AA745" s="6">
        <f t="shared" si="106"/>
        <v>0</v>
      </c>
      <c r="AB745">
        <f t="shared" si="107"/>
        <v>0.21510423732645942</v>
      </c>
      <c r="AC745" t="s">
        <v>32</v>
      </c>
      <c r="AD745" t="s">
        <v>33</v>
      </c>
      <c r="AE745" t="s">
        <v>2828</v>
      </c>
    </row>
    <row r="746" spans="1:32">
      <c r="A746" t="s">
        <v>2308</v>
      </c>
      <c r="B746" s="3">
        <v>45886</v>
      </c>
      <c r="C746" t="str">
        <f t="shared" si="100"/>
        <v>August</v>
      </c>
      <c r="D746">
        <f t="shared" si="101"/>
        <v>2025</v>
      </c>
      <c r="E746" s="3">
        <v>45889</v>
      </c>
      <c r="F746">
        <f t="shared" si="99"/>
        <v>3</v>
      </c>
      <c r="G746" t="s">
        <v>2309</v>
      </c>
      <c r="H746" t="s">
        <v>36</v>
      </c>
      <c r="I746" t="s">
        <v>95</v>
      </c>
      <c r="J746" t="s">
        <v>25</v>
      </c>
      <c r="K746" t="s">
        <v>122</v>
      </c>
      <c r="L746" t="s">
        <v>123</v>
      </c>
      <c r="M746" t="s">
        <v>28</v>
      </c>
      <c r="N746" t="s">
        <v>153</v>
      </c>
      <c r="O746" t="s">
        <v>2310</v>
      </c>
      <c r="P746" t="s">
        <v>50</v>
      </c>
      <c r="Q746">
        <v>5</v>
      </c>
      <c r="R746">
        <v>2701.89</v>
      </c>
      <c r="S746" s="6">
        <v>0.1</v>
      </c>
      <c r="T746" s="6">
        <f t="shared" si="102"/>
        <v>0.1</v>
      </c>
      <c r="U746">
        <v>12158.5</v>
      </c>
      <c r="V746">
        <f t="shared" si="103"/>
        <v>12158.504999999999</v>
      </c>
      <c r="W746" s="6">
        <f t="shared" si="104"/>
        <v>4.9999999991996447E-3</v>
      </c>
      <c r="X746">
        <v>10260.07</v>
      </c>
      <c r="Y746">
        <v>1898.43</v>
      </c>
      <c r="Z746">
        <f t="shared" si="105"/>
        <v>1898.4349999999995</v>
      </c>
      <c r="AA746" s="6">
        <f t="shared" si="106"/>
        <v>4.9999999994270183E-3</v>
      </c>
      <c r="AB746">
        <f t="shared" si="107"/>
        <v>0.15614049589155901</v>
      </c>
      <c r="AC746" t="s">
        <v>32</v>
      </c>
      <c r="AD746" t="s">
        <v>68</v>
      </c>
      <c r="AE746" t="s">
        <v>2827</v>
      </c>
      <c r="AF746" t="s">
        <v>2795</v>
      </c>
    </row>
    <row r="747" spans="1:32">
      <c r="A747" t="s">
        <v>2311</v>
      </c>
      <c r="B747" s="3">
        <v>45589</v>
      </c>
      <c r="C747" t="str">
        <f t="shared" si="100"/>
        <v>October</v>
      </c>
      <c r="D747">
        <f t="shared" si="101"/>
        <v>2024</v>
      </c>
      <c r="E747" s="3">
        <v>45593</v>
      </c>
      <c r="F747">
        <f t="shared" si="99"/>
        <v>4</v>
      </c>
      <c r="G747" t="s">
        <v>2312</v>
      </c>
      <c r="H747" t="s">
        <v>36</v>
      </c>
      <c r="I747" t="s">
        <v>37</v>
      </c>
      <c r="J747" t="s">
        <v>38</v>
      </c>
      <c r="K747" t="s">
        <v>166</v>
      </c>
      <c r="L747" t="s">
        <v>167</v>
      </c>
      <c r="M747" t="s">
        <v>74</v>
      </c>
      <c r="N747" t="s">
        <v>80</v>
      </c>
      <c r="O747" t="s">
        <v>2313</v>
      </c>
      <c r="P747" t="s">
        <v>59</v>
      </c>
      <c r="Q747">
        <v>3</v>
      </c>
      <c r="R747">
        <v>723.59</v>
      </c>
      <c r="S747" s="6">
        <v>0.2</v>
      </c>
      <c r="T747" s="6">
        <f t="shared" si="102"/>
        <v>0.2</v>
      </c>
      <c r="U747">
        <v>1736.62</v>
      </c>
      <c r="V747">
        <f t="shared" si="103"/>
        <v>1736.616</v>
      </c>
      <c r="W747" s="6">
        <f t="shared" si="104"/>
        <v>-3.9999999999054126E-3</v>
      </c>
      <c r="X747">
        <v>1059.52</v>
      </c>
      <c r="Y747">
        <v>677.1</v>
      </c>
      <c r="Z747">
        <f t="shared" si="105"/>
        <v>677.096</v>
      </c>
      <c r="AA747" s="6">
        <f t="shared" si="106"/>
        <v>-4.0000000000190994E-3</v>
      </c>
      <c r="AB747">
        <f t="shared" si="107"/>
        <v>0.38989390861307277</v>
      </c>
      <c r="AC747" t="s">
        <v>32</v>
      </c>
      <c r="AD747" t="s">
        <v>33</v>
      </c>
      <c r="AE747" t="s">
        <v>2828</v>
      </c>
    </row>
    <row r="748" spans="1:32">
      <c r="A748" t="s">
        <v>2314</v>
      </c>
      <c r="B748" s="3">
        <v>45748</v>
      </c>
      <c r="C748" t="str">
        <f t="shared" si="100"/>
        <v>April</v>
      </c>
      <c r="D748">
        <f t="shared" si="101"/>
        <v>2025</v>
      </c>
      <c r="E748" s="3">
        <v>45931</v>
      </c>
      <c r="F748">
        <f t="shared" si="99"/>
        <v>183</v>
      </c>
      <c r="G748" t="s">
        <v>2023</v>
      </c>
      <c r="H748" t="s">
        <v>128</v>
      </c>
      <c r="I748" t="s">
        <v>95</v>
      </c>
      <c r="J748" t="s">
        <v>38</v>
      </c>
      <c r="K748" t="s">
        <v>99</v>
      </c>
      <c r="L748" t="s">
        <v>100</v>
      </c>
      <c r="M748" t="s">
        <v>28</v>
      </c>
      <c r="N748" t="s">
        <v>29</v>
      </c>
      <c r="O748" t="s">
        <v>2315</v>
      </c>
      <c r="P748" t="s">
        <v>59</v>
      </c>
      <c r="Q748">
        <v>4</v>
      </c>
      <c r="R748">
        <v>2583.19</v>
      </c>
      <c r="S748" s="6">
        <v>0.2</v>
      </c>
      <c r="T748" s="6">
        <f t="shared" si="102"/>
        <v>0.2</v>
      </c>
      <c r="U748">
        <v>8266.2099999999991</v>
      </c>
      <c r="V748">
        <f t="shared" si="103"/>
        <v>8266.2080000000005</v>
      </c>
      <c r="W748" s="6">
        <f t="shared" si="104"/>
        <v>-1.9999999985884642E-3</v>
      </c>
      <c r="X748">
        <v>6236.32</v>
      </c>
      <c r="Y748">
        <v>2029.89</v>
      </c>
      <c r="Z748">
        <f t="shared" si="105"/>
        <v>2029.8880000000008</v>
      </c>
      <c r="AA748" s="6">
        <f t="shared" si="106"/>
        <v>-1.9999999992705852E-3</v>
      </c>
      <c r="AB748">
        <f t="shared" si="107"/>
        <v>0.24556459261610653</v>
      </c>
      <c r="AC748" t="s">
        <v>32</v>
      </c>
      <c r="AD748" t="s">
        <v>33</v>
      </c>
      <c r="AE748" t="s">
        <v>2828</v>
      </c>
    </row>
    <row r="749" spans="1:32">
      <c r="A749" t="s">
        <v>2316</v>
      </c>
      <c r="B749" s="3">
        <v>45296</v>
      </c>
      <c r="C749" t="str">
        <f t="shared" si="100"/>
        <v>January</v>
      </c>
      <c r="D749">
        <f t="shared" si="101"/>
        <v>2024</v>
      </c>
      <c r="E749" s="3">
        <v>45478</v>
      </c>
      <c r="F749">
        <f t="shared" si="99"/>
        <v>182</v>
      </c>
      <c r="G749" t="s">
        <v>2317</v>
      </c>
      <c r="H749" t="s">
        <v>47</v>
      </c>
      <c r="I749" t="s">
        <v>95</v>
      </c>
      <c r="J749" t="s">
        <v>38</v>
      </c>
      <c r="K749" t="s">
        <v>39</v>
      </c>
      <c r="L749" t="s">
        <v>40</v>
      </c>
      <c r="M749" t="s">
        <v>28</v>
      </c>
      <c r="N749" t="s">
        <v>29</v>
      </c>
      <c r="O749" t="s">
        <v>2318</v>
      </c>
      <c r="P749" t="s">
        <v>44</v>
      </c>
      <c r="Q749">
        <v>8</v>
      </c>
      <c r="R749">
        <v>1473.83</v>
      </c>
      <c r="S749" s="6">
        <v>0.15</v>
      </c>
      <c r="T749" s="6">
        <f t="shared" si="102"/>
        <v>0.15</v>
      </c>
      <c r="U749">
        <v>10022.040000000001</v>
      </c>
      <c r="V749">
        <f t="shared" si="103"/>
        <v>10022.044</v>
      </c>
      <c r="W749" s="6">
        <f t="shared" si="104"/>
        <v>3.9999999989959178E-3</v>
      </c>
      <c r="X749">
        <v>5576.98</v>
      </c>
      <c r="Y749">
        <v>4445.0600000000004</v>
      </c>
      <c r="Z749">
        <f t="shared" si="105"/>
        <v>4445.0640000000003</v>
      </c>
      <c r="AA749" s="6">
        <f t="shared" si="106"/>
        <v>3.9999999999054126E-3</v>
      </c>
      <c r="AB749">
        <f t="shared" si="107"/>
        <v>0.44352868536597928</v>
      </c>
      <c r="AC749" t="s">
        <v>32</v>
      </c>
      <c r="AD749" t="s">
        <v>33</v>
      </c>
      <c r="AE749" t="s">
        <v>2828</v>
      </c>
    </row>
    <row r="750" spans="1:32">
      <c r="A750" t="s">
        <v>2319</v>
      </c>
      <c r="B750" s="3">
        <v>45442</v>
      </c>
      <c r="C750" t="str">
        <f t="shared" si="100"/>
        <v>May</v>
      </c>
      <c r="D750">
        <f t="shared" si="101"/>
        <v>2024</v>
      </c>
      <c r="E750" s="3">
        <v>45442</v>
      </c>
      <c r="F750">
        <f t="shared" si="99"/>
        <v>0</v>
      </c>
      <c r="G750" t="s">
        <v>2320</v>
      </c>
      <c r="H750" t="s">
        <v>162</v>
      </c>
      <c r="I750" t="s">
        <v>95</v>
      </c>
      <c r="J750" t="s">
        <v>25</v>
      </c>
      <c r="K750" t="s">
        <v>236</v>
      </c>
      <c r="L750" t="s">
        <v>237</v>
      </c>
      <c r="M750" t="s">
        <v>74</v>
      </c>
      <c r="N750" t="s">
        <v>171</v>
      </c>
      <c r="O750" t="s">
        <v>2321</v>
      </c>
      <c r="P750" t="s">
        <v>31</v>
      </c>
      <c r="Q750">
        <v>1</v>
      </c>
      <c r="R750">
        <v>3848.04</v>
      </c>
      <c r="S750" s="6">
        <v>0.25</v>
      </c>
      <c r="T750" s="6">
        <f t="shared" si="102"/>
        <v>0.25</v>
      </c>
      <c r="U750">
        <v>2886.03</v>
      </c>
      <c r="V750">
        <f t="shared" si="103"/>
        <v>2886.0299999999997</v>
      </c>
      <c r="W750" s="6">
        <f t="shared" si="104"/>
        <v>0</v>
      </c>
      <c r="X750">
        <v>2064.83</v>
      </c>
      <c r="Y750">
        <v>821.2</v>
      </c>
      <c r="Z750">
        <f t="shared" si="105"/>
        <v>821.19999999999982</v>
      </c>
      <c r="AA750" s="6">
        <f t="shared" si="106"/>
        <v>0</v>
      </c>
      <c r="AB750">
        <f t="shared" si="107"/>
        <v>0.28454312671732446</v>
      </c>
      <c r="AC750" t="s">
        <v>32</v>
      </c>
      <c r="AD750" t="s">
        <v>33</v>
      </c>
      <c r="AE750" t="s">
        <v>2828</v>
      </c>
    </row>
    <row r="751" spans="1:32">
      <c r="A751" t="s">
        <v>2322</v>
      </c>
      <c r="B751" s="3">
        <v>45372</v>
      </c>
      <c r="C751" t="str">
        <f t="shared" si="100"/>
        <v>March</v>
      </c>
      <c r="D751">
        <f t="shared" si="101"/>
        <v>2024</v>
      </c>
      <c r="E751" s="3">
        <v>45376</v>
      </c>
      <c r="F751">
        <f t="shared" si="99"/>
        <v>4</v>
      </c>
      <c r="G751" t="s">
        <v>2323</v>
      </c>
      <c r="H751" t="s">
        <v>89</v>
      </c>
      <c r="I751" t="s">
        <v>95</v>
      </c>
      <c r="J751" t="s">
        <v>38</v>
      </c>
      <c r="K751" t="s">
        <v>166</v>
      </c>
      <c r="L751" t="s">
        <v>167</v>
      </c>
      <c r="M751" t="s">
        <v>74</v>
      </c>
      <c r="N751" t="s">
        <v>274</v>
      </c>
      <c r="O751" t="s">
        <v>2324</v>
      </c>
      <c r="P751" t="s">
        <v>59</v>
      </c>
      <c r="Q751">
        <v>1</v>
      </c>
      <c r="R751">
        <v>1716.7</v>
      </c>
      <c r="S751" s="6">
        <v>0.15</v>
      </c>
      <c r="T751" s="6">
        <f t="shared" si="102"/>
        <v>0.15</v>
      </c>
      <c r="U751">
        <v>1459.19</v>
      </c>
      <c r="V751">
        <f t="shared" si="103"/>
        <v>1459.1949999999999</v>
      </c>
      <c r="W751" s="6">
        <f t="shared" si="104"/>
        <v>4.9999999998817657E-3</v>
      </c>
      <c r="X751">
        <v>1055.79</v>
      </c>
      <c r="Y751">
        <v>403.4</v>
      </c>
      <c r="Z751">
        <f t="shared" si="105"/>
        <v>403.40499999999997</v>
      </c>
      <c r="AA751" s="6">
        <f t="shared" si="106"/>
        <v>4.9999999999954525E-3</v>
      </c>
      <c r="AB751">
        <f t="shared" si="107"/>
        <v>0.27645722470266137</v>
      </c>
      <c r="AC751" t="s">
        <v>32</v>
      </c>
      <c r="AD751" t="s">
        <v>33</v>
      </c>
      <c r="AE751" t="s">
        <v>2828</v>
      </c>
    </row>
    <row r="752" spans="1:32">
      <c r="A752" t="s">
        <v>2325</v>
      </c>
      <c r="B752" s="3">
        <v>45810</v>
      </c>
      <c r="C752" t="str">
        <f t="shared" si="100"/>
        <v>June</v>
      </c>
      <c r="D752">
        <f t="shared" si="101"/>
        <v>2025</v>
      </c>
      <c r="E752" s="3">
        <v>45694</v>
      </c>
      <c r="F752">
        <f t="shared" si="99"/>
        <v>-116</v>
      </c>
      <c r="G752" t="s">
        <v>2326</v>
      </c>
      <c r="H752" t="s">
        <v>128</v>
      </c>
      <c r="I752" t="s">
        <v>95</v>
      </c>
      <c r="J752" t="s">
        <v>54</v>
      </c>
      <c r="K752" t="s">
        <v>55</v>
      </c>
      <c r="L752" t="s">
        <v>56</v>
      </c>
      <c r="M752" t="s">
        <v>74</v>
      </c>
      <c r="N752" t="s">
        <v>75</v>
      </c>
      <c r="O752" t="s">
        <v>2327</v>
      </c>
      <c r="P752" t="s">
        <v>50</v>
      </c>
      <c r="Q752">
        <v>8</v>
      </c>
      <c r="R752">
        <v>3925.93</v>
      </c>
      <c r="S752" s="6">
        <v>0.15</v>
      </c>
      <c r="T752" s="6">
        <f t="shared" si="102"/>
        <v>0.15</v>
      </c>
      <c r="U752">
        <v>26696.32</v>
      </c>
      <c r="V752">
        <f t="shared" si="103"/>
        <v>26696.323999999997</v>
      </c>
      <c r="W752" s="6">
        <f t="shared" si="104"/>
        <v>3.9999999971769284E-3</v>
      </c>
      <c r="X752">
        <v>22724.52</v>
      </c>
      <c r="Y752">
        <v>3971.8</v>
      </c>
      <c r="Z752">
        <f t="shared" si="105"/>
        <v>3971.8039999999964</v>
      </c>
      <c r="AA752" s="6">
        <f t="shared" si="106"/>
        <v>3.9999999962674337E-3</v>
      </c>
      <c r="AB752">
        <f t="shared" si="107"/>
        <v>0.14877718745097629</v>
      </c>
      <c r="AC752" t="s">
        <v>32</v>
      </c>
      <c r="AD752" t="s">
        <v>33</v>
      </c>
      <c r="AE752" t="s">
        <v>2826</v>
      </c>
      <c r="AF752" s="10" t="s">
        <v>2790</v>
      </c>
    </row>
    <row r="753" spans="1:32">
      <c r="A753" t="s">
        <v>2328</v>
      </c>
      <c r="B753" s="3">
        <v>45856</v>
      </c>
      <c r="C753" t="str">
        <f t="shared" si="100"/>
        <v>July</v>
      </c>
      <c r="D753">
        <f t="shared" si="101"/>
        <v>2025</v>
      </c>
      <c r="E753" s="3">
        <v>45857</v>
      </c>
      <c r="F753">
        <f t="shared" si="99"/>
        <v>1</v>
      </c>
      <c r="G753" t="s">
        <v>2329</v>
      </c>
      <c r="H753" t="s">
        <v>114</v>
      </c>
      <c r="I753" t="s">
        <v>95</v>
      </c>
      <c r="J753" t="s">
        <v>2781</v>
      </c>
      <c r="K753" t="s">
        <v>136</v>
      </c>
      <c r="L753" t="s">
        <v>137</v>
      </c>
      <c r="M753" t="s">
        <v>74</v>
      </c>
      <c r="N753" t="s">
        <v>274</v>
      </c>
      <c r="O753" t="s">
        <v>2330</v>
      </c>
      <c r="P753" t="s">
        <v>2781</v>
      </c>
      <c r="Q753">
        <v>3</v>
      </c>
      <c r="R753">
        <v>2963.25</v>
      </c>
      <c r="S753" s="6">
        <v>0.05</v>
      </c>
      <c r="T753" s="6">
        <f t="shared" si="102"/>
        <v>0.05</v>
      </c>
      <c r="U753">
        <v>8445.26</v>
      </c>
      <c r="V753">
        <f t="shared" si="103"/>
        <v>8445.2624999999989</v>
      </c>
      <c r="W753" s="6">
        <f t="shared" si="104"/>
        <v>2.4999999986903276E-3</v>
      </c>
      <c r="X753">
        <v>6937.6</v>
      </c>
      <c r="Y753">
        <v>1507.66</v>
      </c>
      <c r="Z753">
        <f t="shared" si="105"/>
        <v>1507.6624999999985</v>
      </c>
      <c r="AA753" s="6">
        <f t="shared" si="106"/>
        <v>2.499999998462954E-3</v>
      </c>
      <c r="AB753">
        <f t="shared" si="107"/>
        <v>0.17852168597482893</v>
      </c>
      <c r="AC753" t="s">
        <v>32</v>
      </c>
      <c r="AD753" t="s">
        <v>33</v>
      </c>
      <c r="AE753" t="s">
        <v>2827</v>
      </c>
      <c r="AF753" t="s">
        <v>2829</v>
      </c>
    </row>
    <row r="754" spans="1:32">
      <c r="A754" t="s">
        <v>2331</v>
      </c>
      <c r="B754" s="3">
        <v>45375</v>
      </c>
      <c r="C754" t="str">
        <f t="shared" si="100"/>
        <v>March</v>
      </c>
      <c r="D754">
        <f t="shared" si="101"/>
        <v>2024</v>
      </c>
      <c r="E754" s="3">
        <v>45378</v>
      </c>
      <c r="F754">
        <f t="shared" si="99"/>
        <v>3</v>
      </c>
      <c r="G754" t="s">
        <v>2332</v>
      </c>
      <c r="H754" t="s">
        <v>89</v>
      </c>
      <c r="I754" t="s">
        <v>90</v>
      </c>
      <c r="J754" t="s">
        <v>63</v>
      </c>
      <c r="K754" t="s">
        <v>180</v>
      </c>
      <c r="L754" t="s">
        <v>181</v>
      </c>
      <c r="M754" t="s">
        <v>28</v>
      </c>
      <c r="N754" t="s">
        <v>124</v>
      </c>
      <c r="O754" t="s">
        <v>2333</v>
      </c>
      <c r="P754" t="s">
        <v>50</v>
      </c>
      <c r="Q754">
        <v>5</v>
      </c>
      <c r="R754">
        <v>2465.2199999999998</v>
      </c>
      <c r="S754" s="6">
        <v>0.05</v>
      </c>
      <c r="T754" s="6">
        <f t="shared" si="102"/>
        <v>0.05</v>
      </c>
      <c r="U754">
        <v>11709.79</v>
      </c>
      <c r="V754">
        <f t="shared" si="103"/>
        <v>11709.794999999998</v>
      </c>
      <c r="W754" s="6">
        <f t="shared" si="104"/>
        <v>4.9999999973806553E-3</v>
      </c>
      <c r="X754">
        <v>8372.2900000000009</v>
      </c>
      <c r="Y754">
        <v>3337.5</v>
      </c>
      <c r="Z754">
        <f t="shared" si="105"/>
        <v>3337.5049999999974</v>
      </c>
      <c r="AA754" s="6">
        <f t="shared" si="106"/>
        <v>4.9999999973806553E-3</v>
      </c>
      <c r="AB754">
        <f t="shared" si="107"/>
        <v>0.28501822619439521</v>
      </c>
      <c r="AC754" t="s">
        <v>32</v>
      </c>
      <c r="AD754" t="s">
        <v>33</v>
      </c>
      <c r="AE754" t="s">
        <v>2828</v>
      </c>
    </row>
    <row r="755" spans="1:32">
      <c r="A755" t="s">
        <v>2334</v>
      </c>
      <c r="B755" s="3">
        <v>45604</v>
      </c>
      <c r="C755" t="str">
        <f t="shared" si="100"/>
        <v>November</v>
      </c>
      <c r="D755">
        <f t="shared" si="101"/>
        <v>2024</v>
      </c>
      <c r="E755" s="3">
        <v>45573</v>
      </c>
      <c r="F755">
        <f t="shared" si="99"/>
        <v>-31</v>
      </c>
      <c r="G755" t="s">
        <v>2335</v>
      </c>
      <c r="H755" t="s">
        <v>89</v>
      </c>
      <c r="I755" t="s">
        <v>90</v>
      </c>
      <c r="J755" t="s">
        <v>25</v>
      </c>
      <c r="K755" t="s">
        <v>350</v>
      </c>
      <c r="L755" t="s">
        <v>351</v>
      </c>
      <c r="M755" t="s">
        <v>41</v>
      </c>
      <c r="N755" t="s">
        <v>57</v>
      </c>
      <c r="O755" t="s">
        <v>2336</v>
      </c>
      <c r="P755" t="s">
        <v>31</v>
      </c>
      <c r="Q755">
        <v>3</v>
      </c>
      <c r="R755">
        <v>1017.22</v>
      </c>
      <c r="S755" s="6">
        <v>0.15</v>
      </c>
      <c r="T755" s="6">
        <f t="shared" si="102"/>
        <v>0.15</v>
      </c>
      <c r="U755">
        <v>2593.91</v>
      </c>
      <c r="V755">
        <f t="shared" si="103"/>
        <v>2593.9109999999996</v>
      </c>
      <c r="W755" s="6">
        <f t="shared" si="104"/>
        <v>9.9999999974897946E-4</v>
      </c>
      <c r="X755">
        <v>1848.48</v>
      </c>
      <c r="Y755">
        <v>745.43</v>
      </c>
      <c r="Z755">
        <f t="shared" si="105"/>
        <v>745.43099999999959</v>
      </c>
      <c r="AA755" s="6">
        <f t="shared" si="106"/>
        <v>9.9999999963529262E-4</v>
      </c>
      <c r="AB755">
        <f t="shared" si="107"/>
        <v>0.28737724617382776</v>
      </c>
      <c r="AC755" t="s">
        <v>155</v>
      </c>
      <c r="AD755" t="s">
        <v>103</v>
      </c>
      <c r="AE755" t="s">
        <v>2826</v>
      </c>
      <c r="AF755" s="10" t="s">
        <v>2816</v>
      </c>
    </row>
    <row r="756" spans="1:32">
      <c r="A756" t="s">
        <v>2337</v>
      </c>
      <c r="B756" s="3">
        <v>45812</v>
      </c>
      <c r="C756" t="str">
        <f t="shared" si="100"/>
        <v>June</v>
      </c>
      <c r="D756">
        <f t="shared" si="101"/>
        <v>2025</v>
      </c>
      <c r="E756" s="3">
        <v>45812</v>
      </c>
      <c r="F756">
        <f t="shared" si="99"/>
        <v>0</v>
      </c>
      <c r="G756" t="s">
        <v>2338</v>
      </c>
      <c r="H756" t="s">
        <v>79</v>
      </c>
      <c r="I756" t="s">
        <v>90</v>
      </c>
      <c r="J756" t="s">
        <v>54</v>
      </c>
      <c r="K756" t="s">
        <v>185</v>
      </c>
      <c r="L756" t="s">
        <v>186</v>
      </c>
      <c r="M756" t="s">
        <v>28</v>
      </c>
      <c r="N756" t="s">
        <v>124</v>
      </c>
      <c r="O756" t="s">
        <v>2339</v>
      </c>
      <c r="P756" t="s">
        <v>59</v>
      </c>
      <c r="Q756">
        <v>4</v>
      </c>
      <c r="R756">
        <v>891.34</v>
      </c>
      <c r="S756" s="6">
        <v>0.25</v>
      </c>
      <c r="T756" s="6">
        <f t="shared" si="102"/>
        <v>0.25</v>
      </c>
      <c r="U756">
        <v>2674.02</v>
      </c>
      <c r="V756">
        <f t="shared" si="103"/>
        <v>2674.02</v>
      </c>
      <c r="W756" s="6">
        <f t="shared" si="104"/>
        <v>0</v>
      </c>
      <c r="X756">
        <v>2207.5700000000002</v>
      </c>
      <c r="Y756">
        <v>466.45</v>
      </c>
      <c r="Z756">
        <f t="shared" si="105"/>
        <v>466.44999999999982</v>
      </c>
      <c r="AA756" s="6">
        <f t="shared" si="106"/>
        <v>0</v>
      </c>
      <c r="AB756">
        <f t="shared" si="107"/>
        <v>0.17443773793763689</v>
      </c>
      <c r="AC756" t="s">
        <v>32</v>
      </c>
      <c r="AD756" t="s">
        <v>33</v>
      </c>
      <c r="AE756" t="s">
        <v>2828</v>
      </c>
    </row>
    <row r="757" spans="1:32">
      <c r="A757" t="s">
        <v>2340</v>
      </c>
      <c r="B757" s="3">
        <v>45858</v>
      </c>
      <c r="C757" t="str">
        <f t="shared" si="100"/>
        <v>July</v>
      </c>
      <c r="D757">
        <f t="shared" si="101"/>
        <v>2025</v>
      </c>
      <c r="E757" s="3">
        <v>45862</v>
      </c>
      <c r="F757">
        <f t="shared" si="99"/>
        <v>4</v>
      </c>
      <c r="G757" t="s">
        <v>2341</v>
      </c>
      <c r="H757" t="s">
        <v>114</v>
      </c>
      <c r="I757" t="s">
        <v>95</v>
      </c>
      <c r="J757" t="s">
        <v>63</v>
      </c>
      <c r="K757" t="s">
        <v>72</v>
      </c>
      <c r="L757" t="s">
        <v>73</v>
      </c>
      <c r="M757" t="s">
        <v>28</v>
      </c>
      <c r="N757" t="s">
        <v>124</v>
      </c>
      <c r="O757" t="s">
        <v>2342</v>
      </c>
      <c r="P757" t="s">
        <v>31</v>
      </c>
      <c r="Q757">
        <v>5</v>
      </c>
      <c r="R757">
        <v>2481.7399999999998</v>
      </c>
      <c r="S757" s="6">
        <v>0.2</v>
      </c>
      <c r="T757" s="6">
        <f t="shared" si="102"/>
        <v>0.2</v>
      </c>
      <c r="U757">
        <v>9926.9599999999991</v>
      </c>
      <c r="V757">
        <f t="shared" si="103"/>
        <v>9926.9599999999991</v>
      </c>
      <c r="W757" s="6">
        <f t="shared" si="104"/>
        <v>0</v>
      </c>
      <c r="X757">
        <v>7994.98</v>
      </c>
      <c r="Y757">
        <v>1931.98</v>
      </c>
      <c r="Z757">
        <f t="shared" si="105"/>
        <v>1931.9799999999996</v>
      </c>
      <c r="AA757" s="6">
        <f t="shared" si="106"/>
        <v>0</v>
      </c>
      <c r="AB757">
        <f t="shared" si="107"/>
        <v>0.19461950083409219</v>
      </c>
      <c r="AC757" t="s">
        <v>32</v>
      </c>
      <c r="AD757" t="s">
        <v>33</v>
      </c>
      <c r="AE757" t="s">
        <v>2828</v>
      </c>
    </row>
    <row r="758" spans="1:32">
      <c r="A758" t="s">
        <v>2343</v>
      </c>
      <c r="B758" s="3">
        <v>45592</v>
      </c>
      <c r="C758" t="str">
        <f t="shared" si="100"/>
        <v>October</v>
      </c>
      <c r="D758">
        <f t="shared" si="101"/>
        <v>2024</v>
      </c>
      <c r="E758" s="3">
        <v>45597</v>
      </c>
      <c r="F758">
        <f t="shared" si="99"/>
        <v>5</v>
      </c>
      <c r="G758" t="s">
        <v>2344</v>
      </c>
      <c r="H758" t="s">
        <v>141</v>
      </c>
      <c r="I758" t="s">
        <v>24</v>
      </c>
      <c r="J758" t="s">
        <v>25</v>
      </c>
      <c r="K758" t="s">
        <v>26</v>
      </c>
      <c r="L758" t="s">
        <v>27</v>
      </c>
      <c r="M758" t="s">
        <v>74</v>
      </c>
      <c r="N758" t="s">
        <v>75</v>
      </c>
      <c r="O758" t="s">
        <v>2345</v>
      </c>
      <c r="P758" t="s">
        <v>44</v>
      </c>
      <c r="Q758">
        <v>7</v>
      </c>
      <c r="R758">
        <v>2177.1</v>
      </c>
      <c r="S758" s="6">
        <v>0.2</v>
      </c>
      <c r="T758" s="6">
        <f t="shared" si="102"/>
        <v>0.2</v>
      </c>
      <c r="U758">
        <v>12191.76</v>
      </c>
      <c r="V758">
        <f t="shared" si="103"/>
        <v>12191.76</v>
      </c>
      <c r="W758" s="6">
        <f t="shared" si="104"/>
        <v>0</v>
      </c>
      <c r="X758">
        <v>10457.49</v>
      </c>
      <c r="Y758">
        <v>1734.27</v>
      </c>
      <c r="Z758">
        <f t="shared" si="105"/>
        <v>1734.2700000000004</v>
      </c>
      <c r="AA758" s="6">
        <f t="shared" si="106"/>
        <v>0</v>
      </c>
      <c r="AB758">
        <f t="shared" si="107"/>
        <v>0.14224935530226976</v>
      </c>
      <c r="AC758" t="s">
        <v>32</v>
      </c>
      <c r="AD758" t="s">
        <v>103</v>
      </c>
      <c r="AE758" t="s">
        <v>2827</v>
      </c>
      <c r="AF758" t="s">
        <v>103</v>
      </c>
    </row>
    <row r="759" spans="1:32">
      <c r="A759" t="s">
        <v>2346</v>
      </c>
      <c r="B759" s="3">
        <v>45665</v>
      </c>
      <c r="C759" t="str">
        <f t="shared" si="100"/>
        <v>January</v>
      </c>
      <c r="D759">
        <f t="shared" si="101"/>
        <v>2025</v>
      </c>
      <c r="E759" s="3">
        <v>45724</v>
      </c>
      <c r="F759">
        <f t="shared" si="99"/>
        <v>59</v>
      </c>
      <c r="G759" t="s">
        <v>2347</v>
      </c>
      <c r="H759" t="s">
        <v>89</v>
      </c>
      <c r="I759" t="s">
        <v>37</v>
      </c>
      <c r="J759" t="s">
        <v>54</v>
      </c>
      <c r="K759" t="s">
        <v>185</v>
      </c>
      <c r="L759" t="s">
        <v>186</v>
      </c>
      <c r="M759" t="s">
        <v>41</v>
      </c>
      <c r="N759" t="s">
        <v>158</v>
      </c>
      <c r="O759" t="s">
        <v>2348</v>
      </c>
      <c r="P759" t="s">
        <v>59</v>
      </c>
      <c r="Q759">
        <v>3</v>
      </c>
      <c r="R759">
        <v>1904.78</v>
      </c>
      <c r="S759" s="6">
        <v>0.25</v>
      </c>
      <c r="T759" s="6">
        <f t="shared" si="102"/>
        <v>0.25</v>
      </c>
      <c r="U759">
        <v>4285.76</v>
      </c>
      <c r="V759">
        <f t="shared" si="103"/>
        <v>4285.7550000000001</v>
      </c>
      <c r="W759" s="6">
        <f t="shared" si="104"/>
        <v>-5.0000000001091394E-3</v>
      </c>
      <c r="X759">
        <v>2386.33</v>
      </c>
      <c r="Y759">
        <v>1899.43</v>
      </c>
      <c r="Z759">
        <f t="shared" si="105"/>
        <v>1899.4250000000002</v>
      </c>
      <c r="AA759" s="6">
        <f t="shared" si="106"/>
        <v>-4.9999999998817657E-3</v>
      </c>
      <c r="AB759">
        <f t="shared" si="107"/>
        <v>0.44319495631458172</v>
      </c>
      <c r="AC759" t="s">
        <v>155</v>
      </c>
      <c r="AD759" t="s">
        <v>68</v>
      </c>
      <c r="AE759" t="s">
        <v>2827</v>
      </c>
      <c r="AF759" s="10" t="s">
        <v>2796</v>
      </c>
    </row>
    <row r="760" spans="1:32">
      <c r="A760" t="s">
        <v>2349</v>
      </c>
      <c r="B760" s="3">
        <v>45327</v>
      </c>
      <c r="C760" t="str">
        <f t="shared" si="100"/>
        <v>February</v>
      </c>
      <c r="D760">
        <f t="shared" si="101"/>
        <v>2024</v>
      </c>
      <c r="E760" s="3">
        <v>45570</v>
      </c>
      <c r="F760">
        <f t="shared" si="99"/>
        <v>243</v>
      </c>
      <c r="G760" t="s">
        <v>2350</v>
      </c>
      <c r="H760" t="s">
        <v>128</v>
      </c>
      <c r="I760" t="s">
        <v>37</v>
      </c>
      <c r="J760" t="s">
        <v>54</v>
      </c>
      <c r="K760" t="s">
        <v>175</v>
      </c>
      <c r="L760" t="s">
        <v>176</v>
      </c>
      <c r="M760" t="s">
        <v>41</v>
      </c>
      <c r="N760" t="s">
        <v>66</v>
      </c>
      <c r="O760" t="s">
        <v>2351</v>
      </c>
      <c r="P760" t="s">
        <v>59</v>
      </c>
      <c r="Q760">
        <v>1</v>
      </c>
      <c r="R760">
        <v>4166.91</v>
      </c>
      <c r="S760" s="6">
        <v>0</v>
      </c>
      <c r="T760" s="6">
        <f t="shared" si="102"/>
        <v>0</v>
      </c>
      <c r="U760">
        <v>4166.91</v>
      </c>
      <c r="V760">
        <f t="shared" si="103"/>
        <v>4166.91</v>
      </c>
      <c r="W760" s="6">
        <f t="shared" si="104"/>
        <v>0</v>
      </c>
      <c r="X760">
        <v>3412.63</v>
      </c>
      <c r="Y760">
        <v>754.28</v>
      </c>
      <c r="Z760">
        <f t="shared" si="105"/>
        <v>754.27999999999975</v>
      </c>
      <c r="AA760" s="6">
        <f t="shared" si="106"/>
        <v>0</v>
      </c>
      <c r="AB760">
        <f t="shared" si="107"/>
        <v>0.18101662862888801</v>
      </c>
      <c r="AC760" t="s">
        <v>32</v>
      </c>
      <c r="AD760" t="s">
        <v>33</v>
      </c>
      <c r="AE760" t="s">
        <v>2828</v>
      </c>
    </row>
    <row r="761" spans="1:32">
      <c r="A761" t="s">
        <v>2352</v>
      </c>
      <c r="B761" s="3">
        <v>45492</v>
      </c>
      <c r="C761" t="str">
        <f t="shared" si="100"/>
        <v>July</v>
      </c>
      <c r="D761">
        <f t="shared" si="101"/>
        <v>2024</v>
      </c>
      <c r="E761" s="3">
        <v>45499</v>
      </c>
      <c r="F761">
        <f t="shared" si="99"/>
        <v>7</v>
      </c>
      <c r="G761" t="s">
        <v>2353</v>
      </c>
      <c r="H761" t="s">
        <v>53</v>
      </c>
      <c r="I761" t="s">
        <v>95</v>
      </c>
      <c r="J761" t="s">
        <v>54</v>
      </c>
      <c r="K761" t="s">
        <v>175</v>
      </c>
      <c r="L761" t="s">
        <v>176</v>
      </c>
      <c r="M761" t="s">
        <v>41</v>
      </c>
      <c r="N761" t="s">
        <v>42</v>
      </c>
      <c r="O761" t="s">
        <v>2354</v>
      </c>
      <c r="P761" t="s">
        <v>31</v>
      </c>
      <c r="Q761">
        <v>5</v>
      </c>
      <c r="R761">
        <v>3986.01</v>
      </c>
      <c r="S761" s="6">
        <v>0.25</v>
      </c>
      <c r="T761" s="6">
        <f t="shared" si="102"/>
        <v>0.25</v>
      </c>
      <c r="U761">
        <v>14947.54</v>
      </c>
      <c r="V761">
        <f t="shared" si="103"/>
        <v>14947.537500000002</v>
      </c>
      <c r="W761" s="6">
        <f t="shared" si="104"/>
        <v>-2.4999999986903276E-3</v>
      </c>
      <c r="X761">
        <v>9438.4599999999991</v>
      </c>
      <c r="Y761">
        <v>5509.08</v>
      </c>
      <c r="Z761">
        <f t="shared" si="105"/>
        <v>5509.0775000000031</v>
      </c>
      <c r="AA761" s="6">
        <f t="shared" si="106"/>
        <v>-2.4999999968713382E-3</v>
      </c>
      <c r="AB761">
        <f t="shared" si="107"/>
        <v>0.36856087499362367</v>
      </c>
      <c r="AC761" t="s">
        <v>32</v>
      </c>
      <c r="AD761" t="s">
        <v>33</v>
      </c>
      <c r="AE761" t="s">
        <v>2828</v>
      </c>
    </row>
    <row r="762" spans="1:32">
      <c r="A762" t="s">
        <v>2355</v>
      </c>
      <c r="B762" s="3">
        <v>45532</v>
      </c>
      <c r="C762" t="str">
        <f t="shared" si="100"/>
        <v>August</v>
      </c>
      <c r="D762">
        <f t="shared" si="101"/>
        <v>2024</v>
      </c>
      <c r="E762" s="3">
        <v>45331</v>
      </c>
      <c r="F762">
        <f t="shared" si="99"/>
        <v>-201</v>
      </c>
      <c r="G762" t="s">
        <v>2356</v>
      </c>
      <c r="H762" t="s">
        <v>89</v>
      </c>
      <c r="I762" t="s">
        <v>95</v>
      </c>
      <c r="J762" t="s">
        <v>38</v>
      </c>
      <c r="K762" t="s">
        <v>166</v>
      </c>
      <c r="L762" t="s">
        <v>167</v>
      </c>
      <c r="M762" t="s">
        <v>28</v>
      </c>
      <c r="N762" t="s">
        <v>48</v>
      </c>
      <c r="O762" t="s">
        <v>2357</v>
      </c>
      <c r="P762" t="s">
        <v>31</v>
      </c>
      <c r="Q762">
        <v>4</v>
      </c>
      <c r="R762">
        <v>3365.53</v>
      </c>
      <c r="S762" s="6">
        <v>0</v>
      </c>
      <c r="T762" s="6">
        <f t="shared" si="102"/>
        <v>0</v>
      </c>
      <c r="U762">
        <v>13462.12</v>
      </c>
      <c r="V762">
        <f t="shared" si="103"/>
        <v>13462.12</v>
      </c>
      <c r="W762" s="6">
        <f t="shared" si="104"/>
        <v>0</v>
      </c>
      <c r="X762">
        <v>7600.63</v>
      </c>
      <c r="Y762">
        <v>5861.49</v>
      </c>
      <c r="Z762">
        <f t="shared" si="105"/>
        <v>5861.4900000000007</v>
      </c>
      <c r="AA762" s="6">
        <f t="shared" si="106"/>
        <v>0</v>
      </c>
      <c r="AB762">
        <f t="shared" si="107"/>
        <v>0.43540616188237813</v>
      </c>
      <c r="AC762" t="s">
        <v>111</v>
      </c>
      <c r="AD762" t="s">
        <v>103</v>
      </c>
      <c r="AE762" t="s">
        <v>2826</v>
      </c>
      <c r="AF762" s="10" t="s">
        <v>2815</v>
      </c>
    </row>
    <row r="763" spans="1:32">
      <c r="A763" t="s">
        <v>2358</v>
      </c>
      <c r="B763" s="3">
        <v>45896</v>
      </c>
      <c r="C763" t="str">
        <f t="shared" si="100"/>
        <v>August</v>
      </c>
      <c r="D763">
        <f t="shared" si="101"/>
        <v>2025</v>
      </c>
      <c r="E763" s="3">
        <v>45900</v>
      </c>
      <c r="F763">
        <f t="shared" si="99"/>
        <v>4</v>
      </c>
      <c r="G763" t="s">
        <v>2359</v>
      </c>
      <c r="H763" t="s">
        <v>47</v>
      </c>
      <c r="I763" t="s">
        <v>24</v>
      </c>
      <c r="J763" t="s">
        <v>54</v>
      </c>
      <c r="K763" t="s">
        <v>175</v>
      </c>
      <c r="L763" t="s">
        <v>176</v>
      </c>
      <c r="M763" t="s">
        <v>74</v>
      </c>
      <c r="N763" t="s">
        <v>274</v>
      </c>
      <c r="O763" t="s">
        <v>2360</v>
      </c>
      <c r="P763" t="s">
        <v>50</v>
      </c>
      <c r="Q763">
        <v>3</v>
      </c>
      <c r="R763">
        <v>2489.12</v>
      </c>
      <c r="S763" s="6">
        <v>0</v>
      </c>
      <c r="T763" s="6">
        <f t="shared" si="102"/>
        <v>0</v>
      </c>
      <c r="U763">
        <v>7467.36</v>
      </c>
      <c r="V763">
        <f t="shared" si="103"/>
        <v>7467.36</v>
      </c>
      <c r="W763" s="6">
        <f t="shared" si="104"/>
        <v>0</v>
      </c>
      <c r="X763">
        <v>5010.6099999999997</v>
      </c>
      <c r="Y763">
        <v>2456.75</v>
      </c>
      <c r="Z763">
        <f t="shared" si="105"/>
        <v>2456.75</v>
      </c>
      <c r="AA763" s="6">
        <f t="shared" si="106"/>
        <v>0</v>
      </c>
      <c r="AB763">
        <f t="shared" si="107"/>
        <v>0.32899846799940008</v>
      </c>
      <c r="AC763" t="s">
        <v>32</v>
      </c>
      <c r="AD763" t="s">
        <v>33</v>
      </c>
      <c r="AE763" t="s">
        <v>2828</v>
      </c>
    </row>
    <row r="764" spans="1:32">
      <c r="A764" t="s">
        <v>2361</v>
      </c>
      <c r="B764" s="3">
        <v>45292</v>
      </c>
      <c r="C764" t="str">
        <f t="shared" si="100"/>
        <v>January</v>
      </c>
      <c r="D764">
        <f t="shared" si="101"/>
        <v>2024</v>
      </c>
      <c r="E764" s="3">
        <v>45413</v>
      </c>
      <c r="F764">
        <f t="shared" si="99"/>
        <v>121</v>
      </c>
      <c r="G764" t="s">
        <v>2362</v>
      </c>
      <c r="H764" t="s">
        <v>162</v>
      </c>
      <c r="I764" t="s">
        <v>90</v>
      </c>
      <c r="J764" t="s">
        <v>63</v>
      </c>
      <c r="K764" t="s">
        <v>72</v>
      </c>
      <c r="L764" t="s">
        <v>73</v>
      </c>
      <c r="M764" t="s">
        <v>74</v>
      </c>
      <c r="N764" t="s">
        <v>274</v>
      </c>
      <c r="O764" t="s">
        <v>2363</v>
      </c>
      <c r="P764" t="s">
        <v>31</v>
      </c>
      <c r="Q764">
        <v>2</v>
      </c>
      <c r="R764">
        <v>3694.12</v>
      </c>
      <c r="S764" s="6">
        <v>0.2</v>
      </c>
      <c r="T764" s="6">
        <f t="shared" si="102"/>
        <v>0.2</v>
      </c>
      <c r="U764">
        <v>5910.59</v>
      </c>
      <c r="V764">
        <f t="shared" si="103"/>
        <v>5910.5920000000006</v>
      </c>
      <c r="W764" s="6">
        <f t="shared" si="104"/>
        <v>2.0000000004074536E-3</v>
      </c>
      <c r="X764">
        <v>4775.4399999999996</v>
      </c>
      <c r="Y764">
        <v>1135.1500000000001</v>
      </c>
      <c r="Z764">
        <f t="shared" si="105"/>
        <v>1135.152000000001</v>
      </c>
      <c r="AA764" s="6">
        <f t="shared" si="106"/>
        <v>2.000000000862201E-3</v>
      </c>
      <c r="AB764">
        <f t="shared" si="107"/>
        <v>0.19205385856442145</v>
      </c>
      <c r="AC764" t="s">
        <v>102</v>
      </c>
      <c r="AD764" t="s">
        <v>103</v>
      </c>
      <c r="AE764" t="s">
        <v>2827</v>
      </c>
      <c r="AF764" t="s">
        <v>2807</v>
      </c>
    </row>
    <row r="765" spans="1:32">
      <c r="A765" t="s">
        <v>2364</v>
      </c>
      <c r="B765" s="3">
        <v>45892</v>
      </c>
      <c r="C765" t="str">
        <f t="shared" si="100"/>
        <v>August</v>
      </c>
      <c r="D765">
        <f t="shared" si="101"/>
        <v>2025</v>
      </c>
      <c r="E765" s="3">
        <v>45894</v>
      </c>
      <c r="F765">
        <f t="shared" si="99"/>
        <v>2</v>
      </c>
      <c r="G765" t="s">
        <v>2365</v>
      </c>
      <c r="H765" t="s">
        <v>162</v>
      </c>
      <c r="I765" t="s">
        <v>24</v>
      </c>
      <c r="J765" t="s">
        <v>25</v>
      </c>
      <c r="K765" t="s">
        <v>26</v>
      </c>
      <c r="L765" t="s">
        <v>27</v>
      </c>
      <c r="M765" t="s">
        <v>41</v>
      </c>
      <c r="N765" t="s">
        <v>57</v>
      </c>
      <c r="O765" t="s">
        <v>2366</v>
      </c>
      <c r="P765" t="s">
        <v>44</v>
      </c>
      <c r="Q765">
        <v>6</v>
      </c>
      <c r="R765">
        <v>2742.48</v>
      </c>
      <c r="S765" s="6">
        <v>0</v>
      </c>
      <c r="T765" s="6">
        <f t="shared" si="102"/>
        <v>0</v>
      </c>
      <c r="U765">
        <v>16454.88</v>
      </c>
      <c r="V765">
        <f t="shared" si="103"/>
        <v>16454.88</v>
      </c>
      <c r="W765" s="6">
        <f t="shared" si="104"/>
        <v>0</v>
      </c>
      <c r="X765">
        <v>12081.54</v>
      </c>
      <c r="Y765">
        <v>4373.34</v>
      </c>
      <c r="Z765">
        <f t="shared" si="105"/>
        <v>4373.34</v>
      </c>
      <c r="AA765" s="6">
        <f t="shared" si="106"/>
        <v>0</v>
      </c>
      <c r="AB765">
        <f t="shared" si="107"/>
        <v>0.26577769026574488</v>
      </c>
      <c r="AC765" t="s">
        <v>32</v>
      </c>
      <c r="AD765" t="s">
        <v>33</v>
      </c>
      <c r="AE765" t="s">
        <v>2828</v>
      </c>
    </row>
    <row r="766" spans="1:32">
      <c r="A766" t="s">
        <v>2367</v>
      </c>
      <c r="B766" s="3">
        <v>45760</v>
      </c>
      <c r="C766" t="str">
        <f t="shared" si="100"/>
        <v>April</v>
      </c>
      <c r="D766">
        <f t="shared" si="101"/>
        <v>2025</v>
      </c>
      <c r="E766" s="3">
        <v>45760</v>
      </c>
      <c r="F766">
        <f t="shared" si="99"/>
        <v>0</v>
      </c>
      <c r="G766" t="s">
        <v>884</v>
      </c>
      <c r="H766" t="s">
        <v>114</v>
      </c>
      <c r="I766" t="s">
        <v>90</v>
      </c>
      <c r="J766" t="s">
        <v>54</v>
      </c>
      <c r="K766" t="s">
        <v>185</v>
      </c>
      <c r="L766" t="s">
        <v>186</v>
      </c>
      <c r="M766" t="s">
        <v>41</v>
      </c>
      <c r="N766" t="s">
        <v>158</v>
      </c>
      <c r="O766" t="s">
        <v>2368</v>
      </c>
      <c r="P766" t="s">
        <v>50</v>
      </c>
      <c r="Q766">
        <v>6</v>
      </c>
      <c r="R766">
        <v>4414</v>
      </c>
      <c r="S766" s="6">
        <v>0.05</v>
      </c>
      <c r="T766" s="6">
        <f t="shared" si="102"/>
        <v>0.05</v>
      </c>
      <c r="U766">
        <v>25159.8</v>
      </c>
      <c r="V766">
        <f t="shared" si="103"/>
        <v>25159.8</v>
      </c>
      <c r="W766" s="6">
        <f t="shared" si="104"/>
        <v>0</v>
      </c>
      <c r="X766">
        <v>21606.83</v>
      </c>
      <c r="Y766">
        <v>3552.97</v>
      </c>
      <c r="Z766">
        <f t="shared" si="105"/>
        <v>3552.9699999999975</v>
      </c>
      <c r="AA766" s="6">
        <f t="shared" si="106"/>
        <v>0</v>
      </c>
      <c r="AB766">
        <f t="shared" si="107"/>
        <v>0.14121614639226057</v>
      </c>
      <c r="AC766" t="s">
        <v>32</v>
      </c>
      <c r="AD766" t="s">
        <v>33</v>
      </c>
      <c r="AE766" t="s">
        <v>2828</v>
      </c>
    </row>
    <row r="767" spans="1:32">
      <c r="A767" t="s">
        <v>2369</v>
      </c>
      <c r="B767" s="3">
        <v>45837</v>
      </c>
      <c r="C767" t="str">
        <f t="shared" si="100"/>
        <v>June</v>
      </c>
      <c r="D767">
        <f t="shared" si="101"/>
        <v>2025</v>
      </c>
      <c r="E767" s="3">
        <v>45723</v>
      </c>
      <c r="F767">
        <f t="shared" si="99"/>
        <v>-114</v>
      </c>
      <c r="G767" t="s">
        <v>2370</v>
      </c>
      <c r="H767" t="s">
        <v>71</v>
      </c>
      <c r="I767" t="s">
        <v>90</v>
      </c>
      <c r="J767" t="s">
        <v>38</v>
      </c>
      <c r="K767" t="s">
        <v>228</v>
      </c>
      <c r="L767" t="s">
        <v>229</v>
      </c>
      <c r="M767" t="s">
        <v>28</v>
      </c>
      <c r="N767" t="s">
        <v>91</v>
      </c>
      <c r="O767" t="s">
        <v>2371</v>
      </c>
      <c r="P767" t="s">
        <v>50</v>
      </c>
      <c r="Q767">
        <v>3</v>
      </c>
      <c r="R767">
        <v>608.14</v>
      </c>
      <c r="S767" s="6">
        <v>0</v>
      </c>
      <c r="T767" s="6">
        <f t="shared" si="102"/>
        <v>0</v>
      </c>
      <c r="U767">
        <v>1824.42</v>
      </c>
      <c r="V767">
        <f t="shared" si="103"/>
        <v>1824.42</v>
      </c>
      <c r="W767" s="6">
        <f t="shared" si="104"/>
        <v>0</v>
      </c>
      <c r="X767">
        <v>1214.8699999999999</v>
      </c>
      <c r="Y767">
        <v>609.54999999999995</v>
      </c>
      <c r="Z767">
        <f t="shared" si="105"/>
        <v>609.55000000000018</v>
      </c>
      <c r="AA767" s="6">
        <f t="shared" si="106"/>
        <v>0</v>
      </c>
      <c r="AB767">
        <f t="shared" si="107"/>
        <v>0.33410618169061956</v>
      </c>
      <c r="AC767" t="s">
        <v>32</v>
      </c>
      <c r="AD767" t="s">
        <v>33</v>
      </c>
      <c r="AE767" t="s">
        <v>2826</v>
      </c>
      <c r="AF767" s="10" t="s">
        <v>2790</v>
      </c>
    </row>
    <row r="768" spans="1:32">
      <c r="A768" t="s">
        <v>2372</v>
      </c>
      <c r="B768" s="3">
        <v>45552</v>
      </c>
      <c r="C768" t="str">
        <f t="shared" si="100"/>
        <v>September</v>
      </c>
      <c r="D768">
        <f t="shared" si="101"/>
        <v>2024</v>
      </c>
      <c r="E768" s="3">
        <v>45559</v>
      </c>
      <c r="F768">
        <f t="shared" si="99"/>
        <v>7</v>
      </c>
      <c r="G768" t="s">
        <v>2373</v>
      </c>
      <c r="H768" t="s">
        <v>36</v>
      </c>
      <c r="I768" t="s">
        <v>90</v>
      </c>
      <c r="J768" t="s">
        <v>63</v>
      </c>
      <c r="K768" t="s">
        <v>180</v>
      </c>
      <c r="L768" t="s">
        <v>181</v>
      </c>
      <c r="M768" t="s">
        <v>28</v>
      </c>
      <c r="N768" t="s">
        <v>48</v>
      </c>
      <c r="O768" t="s">
        <v>2374</v>
      </c>
      <c r="P768" t="s">
        <v>31</v>
      </c>
      <c r="Q768">
        <v>9</v>
      </c>
      <c r="R768">
        <v>2307.96</v>
      </c>
      <c r="S768" s="6">
        <v>0.2</v>
      </c>
      <c r="T768" s="6">
        <f t="shared" si="102"/>
        <v>0.2</v>
      </c>
      <c r="U768">
        <v>16617.310000000001</v>
      </c>
      <c r="V768">
        <f t="shared" si="103"/>
        <v>16617.312000000002</v>
      </c>
      <c r="W768" s="6">
        <f t="shared" si="104"/>
        <v>2.0000000004074536E-3</v>
      </c>
      <c r="X768">
        <v>9195.73</v>
      </c>
      <c r="Y768">
        <v>7421.58</v>
      </c>
      <c r="Z768">
        <f t="shared" si="105"/>
        <v>7421.5820000000022</v>
      </c>
      <c r="AA768" s="6">
        <f t="shared" si="106"/>
        <v>2.000000002226443E-3</v>
      </c>
      <c r="AB768">
        <f t="shared" si="107"/>
        <v>0.44661747940942564</v>
      </c>
      <c r="AC768" t="s">
        <v>32</v>
      </c>
      <c r="AD768" t="s">
        <v>68</v>
      </c>
      <c r="AE768" t="s">
        <v>2827</v>
      </c>
      <c r="AF768" t="s">
        <v>2795</v>
      </c>
    </row>
    <row r="769" spans="1:32">
      <c r="A769" t="s">
        <v>2375</v>
      </c>
      <c r="B769" s="3">
        <v>45356</v>
      </c>
      <c r="C769" t="str">
        <f t="shared" si="100"/>
        <v>March</v>
      </c>
      <c r="D769">
        <f t="shared" si="101"/>
        <v>2024</v>
      </c>
      <c r="E769" s="3">
        <v>45418</v>
      </c>
      <c r="F769">
        <f t="shared" si="99"/>
        <v>62</v>
      </c>
      <c r="G769" t="s">
        <v>2376</v>
      </c>
      <c r="H769" t="s">
        <v>62</v>
      </c>
      <c r="I769" t="s">
        <v>95</v>
      </c>
      <c r="J769" t="s">
        <v>25</v>
      </c>
      <c r="K769" t="s">
        <v>136</v>
      </c>
      <c r="L769" t="s">
        <v>137</v>
      </c>
      <c r="M769" t="s">
        <v>28</v>
      </c>
      <c r="N769" t="s">
        <v>153</v>
      </c>
      <c r="O769" t="s">
        <v>2377</v>
      </c>
      <c r="P769" t="s">
        <v>59</v>
      </c>
      <c r="Q769">
        <v>1</v>
      </c>
      <c r="R769">
        <v>1244.58</v>
      </c>
      <c r="S769" s="6">
        <v>0.25</v>
      </c>
      <c r="T769" s="6">
        <f t="shared" si="102"/>
        <v>0.25</v>
      </c>
      <c r="U769">
        <v>933.43</v>
      </c>
      <c r="V769">
        <f t="shared" si="103"/>
        <v>933.43499999999995</v>
      </c>
      <c r="W769" s="6">
        <f t="shared" si="104"/>
        <v>4.9999999999954525E-3</v>
      </c>
      <c r="X769">
        <v>583.09</v>
      </c>
      <c r="Y769">
        <v>350.34</v>
      </c>
      <c r="Z769">
        <f t="shared" si="105"/>
        <v>350.34499999999991</v>
      </c>
      <c r="AA769" s="6">
        <f t="shared" si="106"/>
        <v>4.9999999999386091E-3</v>
      </c>
      <c r="AB769">
        <f t="shared" si="107"/>
        <v>0.3753287588316272</v>
      </c>
      <c r="AC769" t="s">
        <v>32</v>
      </c>
      <c r="AD769" t="s">
        <v>33</v>
      </c>
      <c r="AE769" t="s">
        <v>2828</v>
      </c>
    </row>
    <row r="770" spans="1:32">
      <c r="A770" t="s">
        <v>2378</v>
      </c>
      <c r="B770" s="3">
        <v>45692</v>
      </c>
      <c r="C770" t="str">
        <f t="shared" si="100"/>
        <v>February</v>
      </c>
      <c r="D770">
        <f t="shared" si="101"/>
        <v>2025</v>
      </c>
      <c r="E770" s="3">
        <v>45751</v>
      </c>
      <c r="F770">
        <f t="shared" ref="F770:F833" si="108">E770-B770</f>
        <v>59</v>
      </c>
      <c r="G770" t="s">
        <v>2379</v>
      </c>
      <c r="H770" t="s">
        <v>132</v>
      </c>
      <c r="I770" t="s">
        <v>95</v>
      </c>
      <c r="J770" t="s">
        <v>38</v>
      </c>
      <c r="K770" t="s">
        <v>228</v>
      </c>
      <c r="L770" t="s">
        <v>229</v>
      </c>
      <c r="M770" t="s">
        <v>28</v>
      </c>
      <c r="N770" t="s">
        <v>29</v>
      </c>
      <c r="O770" t="s">
        <v>2380</v>
      </c>
      <c r="P770" t="s">
        <v>44</v>
      </c>
      <c r="Q770">
        <v>5</v>
      </c>
      <c r="R770">
        <v>3234.24</v>
      </c>
      <c r="S770" s="6">
        <v>0.1</v>
      </c>
      <c r="T770" s="6">
        <f t="shared" si="102"/>
        <v>0.1</v>
      </c>
      <c r="U770">
        <v>14554.08</v>
      </c>
      <c r="V770">
        <f t="shared" si="103"/>
        <v>14554.08</v>
      </c>
      <c r="W770" s="6">
        <f t="shared" si="104"/>
        <v>0</v>
      </c>
      <c r="X770">
        <v>11166.84</v>
      </c>
      <c r="Y770">
        <v>3387.24</v>
      </c>
      <c r="Z770">
        <f t="shared" si="105"/>
        <v>3387.24</v>
      </c>
      <c r="AA770" s="6">
        <f t="shared" si="106"/>
        <v>0</v>
      </c>
      <c r="AB770">
        <f t="shared" si="107"/>
        <v>0.23273473830018798</v>
      </c>
      <c r="AC770" t="s">
        <v>32</v>
      </c>
      <c r="AD770" t="s">
        <v>33</v>
      </c>
      <c r="AE770" t="s">
        <v>2828</v>
      </c>
    </row>
    <row r="771" spans="1:32">
      <c r="A771" t="s">
        <v>2381</v>
      </c>
      <c r="B771" s="3">
        <v>45423</v>
      </c>
      <c r="C771" t="str">
        <f t="shared" ref="C771:C834" si="109">TEXT(B771, "mmmm")</f>
        <v>May</v>
      </c>
      <c r="D771">
        <f t="shared" ref="D771:D834" si="110">YEAR(B771)</f>
        <v>2024</v>
      </c>
      <c r="E771" s="3">
        <v>45425</v>
      </c>
      <c r="F771">
        <f t="shared" si="108"/>
        <v>2</v>
      </c>
      <c r="G771" t="s">
        <v>2382</v>
      </c>
      <c r="H771" t="s">
        <v>114</v>
      </c>
      <c r="I771" t="s">
        <v>95</v>
      </c>
      <c r="J771" t="s">
        <v>63</v>
      </c>
      <c r="K771" t="s">
        <v>190</v>
      </c>
      <c r="L771" t="s">
        <v>191</v>
      </c>
      <c r="M771" t="s">
        <v>41</v>
      </c>
      <c r="N771" t="s">
        <v>158</v>
      </c>
      <c r="O771" t="s">
        <v>2383</v>
      </c>
      <c r="P771" t="s">
        <v>44</v>
      </c>
      <c r="Q771">
        <v>3</v>
      </c>
      <c r="R771">
        <v>3612.75</v>
      </c>
      <c r="S771" s="6">
        <v>0.25</v>
      </c>
      <c r="T771" s="6">
        <f t="shared" ref="T771:T834" si="111">ABS(S771)</f>
        <v>0.25</v>
      </c>
      <c r="U771">
        <v>8128.69</v>
      </c>
      <c r="V771">
        <f t="shared" ref="V771:V834" si="112">Q771*R771*(1-T771)</f>
        <v>8128.6875</v>
      </c>
      <c r="W771" s="6">
        <f t="shared" ref="W771:W834" si="113">V771-U771</f>
        <v>-2.4999999995998223E-3</v>
      </c>
      <c r="X771">
        <v>5071.66</v>
      </c>
      <c r="Y771">
        <v>3057.03</v>
      </c>
      <c r="Z771">
        <f t="shared" ref="Z771:Z834" si="114">V771-X771</f>
        <v>3057.0275000000001</v>
      </c>
      <c r="AA771" s="6">
        <f t="shared" ref="AA771:AA834" si="115">Z771-Y771</f>
        <v>-2.5000000000545697E-3</v>
      </c>
      <c r="AB771">
        <f t="shared" ref="AB771:AB834" si="116">Z771/V771</f>
        <v>0.3760788565189645</v>
      </c>
      <c r="AC771" t="s">
        <v>32</v>
      </c>
      <c r="AD771" t="s">
        <v>33</v>
      </c>
      <c r="AE771" t="s">
        <v>2828</v>
      </c>
    </row>
    <row r="772" spans="1:32">
      <c r="A772" t="s">
        <v>2384</v>
      </c>
      <c r="B772" s="3">
        <v>45337</v>
      </c>
      <c r="C772" t="str">
        <f t="shared" si="109"/>
        <v>February</v>
      </c>
      <c r="D772">
        <f t="shared" si="110"/>
        <v>2024</v>
      </c>
      <c r="E772" s="3">
        <v>45339</v>
      </c>
      <c r="F772">
        <f t="shared" si="108"/>
        <v>2</v>
      </c>
      <c r="G772" t="s">
        <v>2385</v>
      </c>
      <c r="H772" t="s">
        <v>79</v>
      </c>
      <c r="I772" t="s">
        <v>24</v>
      </c>
      <c r="J772" t="s">
        <v>25</v>
      </c>
      <c r="K772" t="s">
        <v>136</v>
      </c>
      <c r="L772" t="s">
        <v>137</v>
      </c>
      <c r="M772" t="s">
        <v>74</v>
      </c>
      <c r="N772" t="s">
        <v>80</v>
      </c>
      <c r="O772" t="s">
        <v>2386</v>
      </c>
      <c r="P772" t="s">
        <v>50</v>
      </c>
      <c r="Q772">
        <v>4</v>
      </c>
      <c r="R772">
        <v>863</v>
      </c>
      <c r="S772" s="6">
        <v>0</v>
      </c>
      <c r="T772" s="6">
        <f t="shared" si="111"/>
        <v>0</v>
      </c>
      <c r="U772">
        <v>3106.8</v>
      </c>
      <c r="V772">
        <f t="shared" si="112"/>
        <v>3452</v>
      </c>
      <c r="W772" s="6">
        <f t="shared" si="113"/>
        <v>345.19999999999982</v>
      </c>
      <c r="X772">
        <v>2376.62</v>
      </c>
      <c r="Y772">
        <v>730.18</v>
      </c>
      <c r="Z772">
        <f t="shared" si="114"/>
        <v>1075.3800000000001</v>
      </c>
      <c r="AA772" s="6">
        <f t="shared" si="115"/>
        <v>345.20000000000016</v>
      </c>
      <c r="AB772">
        <f t="shared" si="116"/>
        <v>0.3115237543453071</v>
      </c>
      <c r="AC772" t="s">
        <v>32</v>
      </c>
      <c r="AD772" t="s">
        <v>33</v>
      </c>
      <c r="AE772" t="s">
        <v>2828</v>
      </c>
    </row>
    <row r="773" spans="1:32">
      <c r="A773" t="s">
        <v>2387</v>
      </c>
      <c r="B773" s="3">
        <v>45633</v>
      </c>
      <c r="C773" t="str">
        <f t="shared" si="109"/>
        <v>December</v>
      </c>
      <c r="D773">
        <f t="shared" si="110"/>
        <v>2024</v>
      </c>
      <c r="E773" s="3">
        <v>45487</v>
      </c>
      <c r="F773">
        <f t="shared" si="108"/>
        <v>-146</v>
      </c>
      <c r="G773" t="s">
        <v>467</v>
      </c>
      <c r="H773" t="s">
        <v>62</v>
      </c>
      <c r="I773" t="s">
        <v>24</v>
      </c>
      <c r="J773" t="s">
        <v>25</v>
      </c>
      <c r="K773" t="s">
        <v>236</v>
      </c>
      <c r="L773" t="s">
        <v>237</v>
      </c>
      <c r="M773" t="s">
        <v>74</v>
      </c>
      <c r="N773" t="s">
        <v>274</v>
      </c>
      <c r="O773" t="s">
        <v>2388</v>
      </c>
      <c r="P773" t="s">
        <v>31</v>
      </c>
      <c r="Q773">
        <v>4</v>
      </c>
      <c r="R773">
        <v>2131.41</v>
      </c>
      <c r="S773" s="6">
        <v>0</v>
      </c>
      <c r="T773" s="6">
        <f t="shared" si="111"/>
        <v>0</v>
      </c>
      <c r="U773">
        <v>6394.23</v>
      </c>
      <c r="V773">
        <f t="shared" si="112"/>
        <v>8525.64</v>
      </c>
      <c r="W773" s="6">
        <f t="shared" si="113"/>
        <v>2131.41</v>
      </c>
      <c r="X773">
        <v>3520.69</v>
      </c>
      <c r="Y773">
        <v>2873.54</v>
      </c>
      <c r="Z773">
        <f t="shared" si="114"/>
        <v>5004.9499999999989</v>
      </c>
      <c r="AA773" s="6">
        <f t="shared" si="115"/>
        <v>2131.4099999999989</v>
      </c>
      <c r="AB773">
        <f t="shared" si="116"/>
        <v>0.58704683753946907</v>
      </c>
      <c r="AC773" t="s">
        <v>32</v>
      </c>
      <c r="AD773" t="s">
        <v>33</v>
      </c>
      <c r="AE773" t="s">
        <v>2826</v>
      </c>
      <c r="AF773" s="10" t="s">
        <v>2790</v>
      </c>
    </row>
    <row r="774" spans="1:32">
      <c r="A774" t="s">
        <v>2389</v>
      </c>
      <c r="B774" s="3">
        <v>45853</v>
      </c>
      <c r="C774" t="str">
        <f t="shared" si="109"/>
        <v>July</v>
      </c>
      <c r="D774">
        <f t="shared" si="110"/>
        <v>2025</v>
      </c>
      <c r="E774" s="3">
        <v>45857</v>
      </c>
      <c r="F774">
        <f t="shared" si="108"/>
        <v>4</v>
      </c>
      <c r="G774" t="s">
        <v>2390</v>
      </c>
      <c r="H774" t="s">
        <v>162</v>
      </c>
      <c r="I774" t="s">
        <v>24</v>
      </c>
      <c r="J774" t="s">
        <v>54</v>
      </c>
      <c r="K774" t="s">
        <v>247</v>
      </c>
      <c r="L774" t="s">
        <v>248</v>
      </c>
      <c r="M774" t="s">
        <v>41</v>
      </c>
      <c r="N774" t="s">
        <v>66</v>
      </c>
      <c r="O774" t="s">
        <v>2391</v>
      </c>
      <c r="P774" t="s">
        <v>44</v>
      </c>
      <c r="Q774">
        <v>1</v>
      </c>
      <c r="R774">
        <v>3903.22</v>
      </c>
      <c r="S774" s="6">
        <v>0.05</v>
      </c>
      <c r="T774" s="6">
        <f t="shared" si="111"/>
        <v>0.05</v>
      </c>
      <c r="U774">
        <v>3708.06</v>
      </c>
      <c r="V774">
        <f t="shared" si="112"/>
        <v>3708.0589999999997</v>
      </c>
      <c r="W774" s="6">
        <f t="shared" si="113"/>
        <v>-1.0000000002037268E-3</v>
      </c>
      <c r="X774">
        <v>2760.29</v>
      </c>
      <c r="Y774">
        <v>947.77</v>
      </c>
      <c r="Z774">
        <f t="shared" si="114"/>
        <v>947.76899999999978</v>
      </c>
      <c r="AA774" s="6">
        <f t="shared" si="115"/>
        <v>-1.0000000002037268E-3</v>
      </c>
      <c r="AB774">
        <f t="shared" si="116"/>
        <v>0.25559706574248142</v>
      </c>
      <c r="AC774" t="s">
        <v>111</v>
      </c>
      <c r="AD774" t="s">
        <v>68</v>
      </c>
      <c r="AE774" t="s">
        <v>2827</v>
      </c>
      <c r="AF774" t="s">
        <v>2804</v>
      </c>
    </row>
    <row r="775" spans="1:32">
      <c r="A775" t="s">
        <v>2392</v>
      </c>
      <c r="B775" s="3">
        <v>45709</v>
      </c>
      <c r="C775" t="str">
        <f t="shared" si="109"/>
        <v>February</v>
      </c>
      <c r="D775">
        <f t="shared" si="110"/>
        <v>2025</v>
      </c>
      <c r="E775" s="3">
        <v>45709</v>
      </c>
      <c r="F775">
        <f t="shared" si="108"/>
        <v>0</v>
      </c>
      <c r="G775" t="s">
        <v>2393</v>
      </c>
      <c r="H775" t="s">
        <v>23</v>
      </c>
      <c r="I775" t="s">
        <v>95</v>
      </c>
      <c r="J775" t="s">
        <v>63</v>
      </c>
      <c r="K775" t="s">
        <v>180</v>
      </c>
      <c r="L775" t="s">
        <v>181</v>
      </c>
      <c r="M775" t="s">
        <v>74</v>
      </c>
      <c r="N775" t="s">
        <v>171</v>
      </c>
      <c r="O775" t="s">
        <v>2394</v>
      </c>
      <c r="P775" t="s">
        <v>2781</v>
      </c>
      <c r="Q775">
        <v>4</v>
      </c>
      <c r="R775">
        <v>2945.07</v>
      </c>
      <c r="S775" s="6">
        <v>0.2</v>
      </c>
      <c r="T775" s="6">
        <f t="shared" si="111"/>
        <v>0.2</v>
      </c>
      <c r="U775">
        <v>9424.2199999999993</v>
      </c>
      <c r="V775">
        <f t="shared" si="112"/>
        <v>9424.2240000000002</v>
      </c>
      <c r="W775" s="6">
        <f t="shared" si="113"/>
        <v>4.0000000008149073E-3</v>
      </c>
      <c r="X775">
        <v>6178.92</v>
      </c>
      <c r="Y775">
        <v>3245.3</v>
      </c>
      <c r="Z775">
        <f t="shared" si="114"/>
        <v>3245.3040000000001</v>
      </c>
      <c r="AA775" s="6">
        <f t="shared" si="115"/>
        <v>3.9999999999054126E-3</v>
      </c>
      <c r="AB775">
        <f t="shared" si="116"/>
        <v>0.3443576892909167</v>
      </c>
      <c r="AC775" t="s">
        <v>32</v>
      </c>
      <c r="AD775" t="s">
        <v>33</v>
      </c>
      <c r="AE775" t="s">
        <v>2827</v>
      </c>
      <c r="AF775" t="s">
        <v>2829</v>
      </c>
    </row>
    <row r="776" spans="1:32">
      <c r="A776" t="s">
        <v>2395</v>
      </c>
      <c r="B776" s="3">
        <v>45846</v>
      </c>
      <c r="C776" t="str">
        <f t="shared" si="109"/>
        <v>July</v>
      </c>
      <c r="D776">
        <f t="shared" si="110"/>
        <v>2025</v>
      </c>
      <c r="E776" s="3">
        <v>45846</v>
      </c>
      <c r="F776">
        <f t="shared" si="108"/>
        <v>0</v>
      </c>
      <c r="G776" t="s">
        <v>2396</v>
      </c>
      <c r="H776" t="s">
        <v>264</v>
      </c>
      <c r="I776" t="s">
        <v>24</v>
      </c>
      <c r="J776" t="s">
        <v>63</v>
      </c>
      <c r="K776" t="s">
        <v>26</v>
      </c>
      <c r="L776" t="s">
        <v>109</v>
      </c>
      <c r="M776" t="s">
        <v>74</v>
      </c>
      <c r="N776" t="s">
        <v>274</v>
      </c>
      <c r="O776" t="s">
        <v>2397</v>
      </c>
      <c r="P776" t="s">
        <v>2781</v>
      </c>
      <c r="Q776">
        <v>9</v>
      </c>
      <c r="R776">
        <v>1076.75</v>
      </c>
      <c r="S776" s="6">
        <v>0.2</v>
      </c>
      <c r="T776" s="6">
        <f t="shared" si="111"/>
        <v>0.2</v>
      </c>
      <c r="U776">
        <v>7752.6</v>
      </c>
      <c r="V776">
        <f t="shared" si="112"/>
        <v>7752.6</v>
      </c>
      <c r="W776" s="6">
        <f t="shared" si="113"/>
        <v>0</v>
      </c>
      <c r="X776">
        <v>4689.3</v>
      </c>
      <c r="Y776">
        <v>3063.3</v>
      </c>
      <c r="Z776">
        <f t="shared" si="114"/>
        <v>3063.3</v>
      </c>
      <c r="AA776" s="6">
        <f t="shared" si="115"/>
        <v>0</v>
      </c>
      <c r="AB776">
        <f t="shared" si="116"/>
        <v>0.39513195573098059</v>
      </c>
      <c r="AC776" t="s">
        <v>32</v>
      </c>
      <c r="AD776" t="s">
        <v>33</v>
      </c>
      <c r="AE776" t="s">
        <v>2827</v>
      </c>
      <c r="AF776" t="s">
        <v>2829</v>
      </c>
    </row>
    <row r="777" spans="1:32">
      <c r="A777" t="s">
        <v>2398</v>
      </c>
      <c r="B777" s="3">
        <v>45396</v>
      </c>
      <c r="C777" t="str">
        <f t="shared" si="109"/>
        <v>April</v>
      </c>
      <c r="D777">
        <f t="shared" si="110"/>
        <v>2024</v>
      </c>
      <c r="E777" s="3">
        <v>45404</v>
      </c>
      <c r="F777">
        <f t="shared" si="108"/>
        <v>8</v>
      </c>
      <c r="G777" t="s">
        <v>2399</v>
      </c>
      <c r="H777" t="s">
        <v>53</v>
      </c>
      <c r="I777" t="s">
        <v>24</v>
      </c>
      <c r="J777" t="s">
        <v>25</v>
      </c>
      <c r="K777" t="s">
        <v>236</v>
      </c>
      <c r="L777" t="s">
        <v>237</v>
      </c>
      <c r="M777" t="s">
        <v>74</v>
      </c>
      <c r="N777" t="s">
        <v>75</v>
      </c>
      <c r="O777" t="s">
        <v>2400</v>
      </c>
      <c r="P777" t="s">
        <v>59</v>
      </c>
      <c r="Q777">
        <v>8</v>
      </c>
      <c r="R777">
        <v>3956.12</v>
      </c>
      <c r="S777" s="6">
        <v>0.25</v>
      </c>
      <c r="T777" s="6">
        <f t="shared" si="111"/>
        <v>0.25</v>
      </c>
      <c r="U777">
        <v>23736.720000000001</v>
      </c>
      <c r="V777">
        <f t="shared" si="112"/>
        <v>23736.720000000001</v>
      </c>
      <c r="W777" s="6">
        <f t="shared" si="113"/>
        <v>0</v>
      </c>
      <c r="X777">
        <v>13890.9</v>
      </c>
      <c r="Y777">
        <v>9845.82</v>
      </c>
      <c r="Z777">
        <f t="shared" si="114"/>
        <v>9845.8200000000015</v>
      </c>
      <c r="AA777" s="6">
        <f t="shared" si="115"/>
        <v>0</v>
      </c>
      <c r="AB777">
        <f t="shared" si="116"/>
        <v>0.41479277676106896</v>
      </c>
      <c r="AC777" t="s">
        <v>32</v>
      </c>
      <c r="AD777" t="s">
        <v>33</v>
      </c>
      <c r="AE777" t="s">
        <v>2828</v>
      </c>
    </row>
    <row r="778" spans="1:32">
      <c r="A778" t="s">
        <v>2401</v>
      </c>
      <c r="B778" s="3">
        <v>45875</v>
      </c>
      <c r="C778" t="str">
        <f t="shared" si="109"/>
        <v>August</v>
      </c>
      <c r="D778">
        <f t="shared" si="110"/>
        <v>2025</v>
      </c>
      <c r="E778" s="3">
        <v>45821</v>
      </c>
      <c r="F778">
        <f t="shared" si="108"/>
        <v>-54</v>
      </c>
      <c r="G778" t="s">
        <v>2402</v>
      </c>
      <c r="H778" t="s">
        <v>89</v>
      </c>
      <c r="I778" t="s">
        <v>37</v>
      </c>
      <c r="J778" t="s">
        <v>25</v>
      </c>
      <c r="K778" t="s">
        <v>26</v>
      </c>
      <c r="L778" t="s">
        <v>27</v>
      </c>
      <c r="M778" t="s">
        <v>74</v>
      </c>
      <c r="N778" t="s">
        <v>80</v>
      </c>
      <c r="O778" t="s">
        <v>2403</v>
      </c>
      <c r="P778" t="s">
        <v>31</v>
      </c>
      <c r="Q778">
        <v>7</v>
      </c>
      <c r="R778">
        <v>3857.13</v>
      </c>
      <c r="S778" s="6">
        <v>0</v>
      </c>
      <c r="T778" s="6">
        <f t="shared" si="111"/>
        <v>0</v>
      </c>
      <c r="U778">
        <v>26999.91</v>
      </c>
      <c r="V778">
        <f t="shared" si="112"/>
        <v>26999.91</v>
      </c>
      <c r="W778" s="6">
        <f t="shared" si="113"/>
        <v>0</v>
      </c>
      <c r="X778">
        <v>17815.98</v>
      </c>
      <c r="Y778">
        <v>9183.93</v>
      </c>
      <c r="Z778">
        <f t="shared" si="114"/>
        <v>9183.93</v>
      </c>
      <c r="AA778" s="6">
        <f t="shared" si="115"/>
        <v>0</v>
      </c>
      <c r="AB778">
        <f t="shared" si="116"/>
        <v>0.34014668937785347</v>
      </c>
      <c r="AC778" t="s">
        <v>32</v>
      </c>
      <c r="AD778" t="s">
        <v>33</v>
      </c>
      <c r="AE778" t="s">
        <v>2826</v>
      </c>
      <c r="AF778" s="10" t="s">
        <v>2790</v>
      </c>
    </row>
    <row r="779" spans="1:32">
      <c r="A779" t="s">
        <v>2404</v>
      </c>
      <c r="B779" s="3">
        <v>45384</v>
      </c>
      <c r="C779" t="str">
        <f t="shared" si="109"/>
        <v>April</v>
      </c>
      <c r="D779">
        <f t="shared" si="110"/>
        <v>2024</v>
      </c>
      <c r="E779" s="3">
        <v>45445</v>
      </c>
      <c r="F779">
        <f t="shared" si="108"/>
        <v>61</v>
      </c>
      <c r="G779" t="s">
        <v>2405</v>
      </c>
      <c r="H779" t="s">
        <v>264</v>
      </c>
      <c r="I779" t="s">
        <v>37</v>
      </c>
      <c r="J779" t="s">
        <v>63</v>
      </c>
      <c r="K779" t="s">
        <v>72</v>
      </c>
      <c r="L779" t="s">
        <v>73</v>
      </c>
      <c r="M779" t="s">
        <v>74</v>
      </c>
      <c r="N779" t="s">
        <v>75</v>
      </c>
      <c r="O779" t="s">
        <v>2406</v>
      </c>
      <c r="P779" t="s">
        <v>31</v>
      </c>
      <c r="Q779">
        <v>4</v>
      </c>
      <c r="R779">
        <v>1489.74</v>
      </c>
      <c r="S779" s="6">
        <v>0.15</v>
      </c>
      <c r="T779" s="6">
        <f t="shared" si="111"/>
        <v>0.15</v>
      </c>
      <c r="U779">
        <v>5065.12</v>
      </c>
      <c r="V779">
        <f t="shared" si="112"/>
        <v>5065.116</v>
      </c>
      <c r="W779" s="6">
        <f t="shared" si="113"/>
        <v>-3.9999999999054126E-3</v>
      </c>
      <c r="X779">
        <v>3530.12</v>
      </c>
      <c r="Y779">
        <v>1535</v>
      </c>
      <c r="Z779">
        <f t="shared" si="114"/>
        <v>1534.9960000000001</v>
      </c>
      <c r="AA779" s="6">
        <f t="shared" si="115"/>
        <v>-3.9999999999054126E-3</v>
      </c>
      <c r="AB779">
        <f t="shared" si="116"/>
        <v>0.30305248685321323</v>
      </c>
      <c r="AC779" t="s">
        <v>155</v>
      </c>
      <c r="AD779" t="s">
        <v>68</v>
      </c>
      <c r="AE779" t="s">
        <v>2827</v>
      </c>
      <c r="AF779" s="10" t="s">
        <v>2796</v>
      </c>
    </row>
    <row r="780" spans="1:32">
      <c r="A780" t="s">
        <v>2407</v>
      </c>
      <c r="B780" s="3">
        <v>45497</v>
      </c>
      <c r="C780" t="str">
        <f t="shared" si="109"/>
        <v>July</v>
      </c>
      <c r="D780">
        <f t="shared" si="110"/>
        <v>2024</v>
      </c>
      <c r="E780" s="3">
        <v>45497</v>
      </c>
      <c r="F780">
        <f t="shared" si="108"/>
        <v>0</v>
      </c>
      <c r="G780" t="s">
        <v>2408</v>
      </c>
      <c r="H780" t="s">
        <v>23</v>
      </c>
      <c r="I780" t="s">
        <v>37</v>
      </c>
      <c r="J780" t="s">
        <v>25</v>
      </c>
      <c r="K780" t="s">
        <v>236</v>
      </c>
      <c r="L780" t="s">
        <v>237</v>
      </c>
      <c r="M780" t="s">
        <v>74</v>
      </c>
      <c r="N780" t="s">
        <v>80</v>
      </c>
      <c r="O780" t="s">
        <v>2409</v>
      </c>
      <c r="P780" t="s">
        <v>31</v>
      </c>
      <c r="Q780">
        <v>4</v>
      </c>
      <c r="R780">
        <v>1676.88</v>
      </c>
      <c r="S780" s="6">
        <v>0</v>
      </c>
      <c r="T780" s="6">
        <f t="shared" si="111"/>
        <v>0</v>
      </c>
      <c r="U780">
        <v>6707.52</v>
      </c>
      <c r="V780">
        <f t="shared" si="112"/>
        <v>6707.52</v>
      </c>
      <c r="W780" s="6">
        <f t="shared" si="113"/>
        <v>0</v>
      </c>
      <c r="X780">
        <v>5672.57</v>
      </c>
      <c r="Y780">
        <v>1034.95</v>
      </c>
      <c r="Z780">
        <f t="shared" si="114"/>
        <v>1034.9500000000007</v>
      </c>
      <c r="AA780" s="6">
        <f t="shared" si="115"/>
        <v>0</v>
      </c>
      <c r="AB780">
        <f t="shared" si="116"/>
        <v>0.15429696817899918</v>
      </c>
      <c r="AC780" t="s">
        <v>32</v>
      </c>
      <c r="AD780" t="s">
        <v>33</v>
      </c>
      <c r="AE780" t="s">
        <v>2828</v>
      </c>
    </row>
    <row r="781" spans="1:32">
      <c r="A781" t="s">
        <v>2410</v>
      </c>
      <c r="B781" s="3">
        <v>45306</v>
      </c>
      <c r="C781" t="str">
        <f t="shared" si="109"/>
        <v>January</v>
      </c>
      <c r="D781">
        <f t="shared" si="110"/>
        <v>2024</v>
      </c>
      <c r="E781" s="3">
        <v>45311</v>
      </c>
      <c r="F781">
        <f t="shared" si="108"/>
        <v>5</v>
      </c>
      <c r="G781" t="s">
        <v>2411</v>
      </c>
      <c r="H781" t="s">
        <v>114</v>
      </c>
      <c r="I781" t="s">
        <v>37</v>
      </c>
      <c r="J781" t="s">
        <v>54</v>
      </c>
      <c r="K781" t="s">
        <v>84</v>
      </c>
      <c r="L781" t="s">
        <v>85</v>
      </c>
      <c r="M781" t="s">
        <v>41</v>
      </c>
      <c r="N781" t="s">
        <v>66</v>
      </c>
      <c r="O781" t="s">
        <v>2412</v>
      </c>
      <c r="P781" t="s">
        <v>59</v>
      </c>
      <c r="Q781">
        <v>4</v>
      </c>
      <c r="R781">
        <v>3153.54</v>
      </c>
      <c r="S781" s="6">
        <v>0.05</v>
      </c>
      <c r="T781" s="6">
        <f t="shared" si="111"/>
        <v>0.05</v>
      </c>
      <c r="U781">
        <v>11983.45</v>
      </c>
      <c r="V781">
        <f t="shared" si="112"/>
        <v>11983.451999999999</v>
      </c>
      <c r="W781" s="6">
        <f t="shared" si="113"/>
        <v>1.9999999985884642E-3</v>
      </c>
      <c r="X781">
        <v>8572.9</v>
      </c>
      <c r="Y781">
        <v>3410.55</v>
      </c>
      <c r="Z781">
        <f t="shared" si="114"/>
        <v>3410.5519999999997</v>
      </c>
      <c r="AA781" s="6">
        <f t="shared" si="115"/>
        <v>1.9999999994979589E-3</v>
      </c>
      <c r="AB781">
        <f t="shared" si="116"/>
        <v>0.2846051371507976</v>
      </c>
      <c r="AC781" t="s">
        <v>32</v>
      </c>
      <c r="AD781" t="s">
        <v>33</v>
      </c>
      <c r="AE781" t="s">
        <v>2828</v>
      </c>
    </row>
    <row r="782" spans="1:32">
      <c r="A782" t="s">
        <v>2413</v>
      </c>
      <c r="B782" s="3">
        <v>45390</v>
      </c>
      <c r="C782" t="str">
        <f t="shared" si="109"/>
        <v>April</v>
      </c>
      <c r="D782">
        <f t="shared" si="110"/>
        <v>2024</v>
      </c>
      <c r="E782" s="3">
        <v>45514</v>
      </c>
      <c r="F782">
        <f t="shared" si="108"/>
        <v>124</v>
      </c>
      <c r="G782" t="s">
        <v>2414</v>
      </c>
      <c r="H782" t="s">
        <v>162</v>
      </c>
      <c r="I782" t="s">
        <v>37</v>
      </c>
      <c r="J782" t="s">
        <v>63</v>
      </c>
      <c r="K782" t="s">
        <v>26</v>
      </c>
      <c r="L782" t="s">
        <v>109</v>
      </c>
      <c r="M782" t="s">
        <v>41</v>
      </c>
      <c r="N782" t="s">
        <v>66</v>
      </c>
      <c r="O782" t="s">
        <v>2415</v>
      </c>
      <c r="P782" t="s">
        <v>44</v>
      </c>
      <c r="Q782">
        <v>4</v>
      </c>
      <c r="R782">
        <v>426.43</v>
      </c>
      <c r="S782" s="6">
        <v>0.2</v>
      </c>
      <c r="T782" s="6">
        <f t="shared" si="111"/>
        <v>0.2</v>
      </c>
      <c r="U782">
        <v>1364.58</v>
      </c>
      <c r="V782">
        <f t="shared" si="112"/>
        <v>1364.576</v>
      </c>
      <c r="W782" s="6">
        <f t="shared" si="113"/>
        <v>-3.9999999999054126E-3</v>
      </c>
      <c r="X782">
        <v>978.16</v>
      </c>
      <c r="Y782">
        <v>386.42</v>
      </c>
      <c r="Z782">
        <f t="shared" si="114"/>
        <v>386.41600000000005</v>
      </c>
      <c r="AA782" s="6">
        <f t="shared" si="115"/>
        <v>-3.999999999962256E-3</v>
      </c>
      <c r="AB782">
        <f t="shared" si="116"/>
        <v>0.28317660577351506</v>
      </c>
      <c r="AC782" t="s">
        <v>32</v>
      </c>
      <c r="AD782" t="s">
        <v>33</v>
      </c>
      <c r="AE782" t="s">
        <v>2828</v>
      </c>
    </row>
    <row r="783" spans="1:32">
      <c r="A783" t="s">
        <v>2416</v>
      </c>
      <c r="B783" s="3">
        <v>45324</v>
      </c>
      <c r="C783" t="str">
        <f t="shared" si="109"/>
        <v>February</v>
      </c>
      <c r="D783">
        <f t="shared" si="110"/>
        <v>2024</v>
      </c>
      <c r="E783" s="3">
        <v>45567</v>
      </c>
      <c r="F783">
        <f t="shared" si="108"/>
        <v>243</v>
      </c>
      <c r="G783" t="s">
        <v>2417</v>
      </c>
      <c r="H783" t="s">
        <v>23</v>
      </c>
      <c r="I783" t="s">
        <v>95</v>
      </c>
      <c r="J783" t="s">
        <v>63</v>
      </c>
      <c r="K783" t="s">
        <v>26</v>
      </c>
      <c r="L783" t="s">
        <v>109</v>
      </c>
      <c r="M783" t="s">
        <v>28</v>
      </c>
      <c r="N783" t="s">
        <v>91</v>
      </c>
      <c r="O783" t="s">
        <v>2418</v>
      </c>
      <c r="P783" t="s">
        <v>50</v>
      </c>
      <c r="Q783">
        <v>3</v>
      </c>
      <c r="R783">
        <v>383.4</v>
      </c>
      <c r="S783" s="6">
        <v>0.25</v>
      </c>
      <c r="T783" s="6">
        <f t="shared" si="111"/>
        <v>0.25</v>
      </c>
      <c r="U783">
        <v>862.65</v>
      </c>
      <c r="V783">
        <f t="shared" si="112"/>
        <v>862.64999999999986</v>
      </c>
      <c r="W783" s="6">
        <f t="shared" si="113"/>
        <v>0</v>
      </c>
      <c r="X783">
        <v>603.73</v>
      </c>
      <c r="Y783">
        <v>258.92</v>
      </c>
      <c r="Z783">
        <f t="shared" si="114"/>
        <v>258.91999999999985</v>
      </c>
      <c r="AA783" s="6">
        <f t="shared" si="115"/>
        <v>0</v>
      </c>
      <c r="AB783">
        <f t="shared" si="116"/>
        <v>0.30014490233582553</v>
      </c>
      <c r="AC783" t="s">
        <v>111</v>
      </c>
      <c r="AD783" t="s">
        <v>103</v>
      </c>
      <c r="AE783" t="s">
        <v>2827</v>
      </c>
      <c r="AF783" t="s">
        <v>2814</v>
      </c>
    </row>
    <row r="784" spans="1:32">
      <c r="A784" t="s">
        <v>2419</v>
      </c>
      <c r="B784" s="3">
        <v>45730</v>
      </c>
      <c r="C784" t="str">
        <f t="shared" si="109"/>
        <v>March</v>
      </c>
      <c r="D784">
        <f t="shared" si="110"/>
        <v>2025</v>
      </c>
      <c r="E784" s="3">
        <v>45738</v>
      </c>
      <c r="F784">
        <f t="shared" si="108"/>
        <v>8</v>
      </c>
      <c r="G784" t="s">
        <v>2420</v>
      </c>
      <c r="H784" t="s">
        <v>36</v>
      </c>
      <c r="I784" t="s">
        <v>90</v>
      </c>
      <c r="J784" t="s">
        <v>38</v>
      </c>
      <c r="K784" t="s">
        <v>99</v>
      </c>
      <c r="L784" t="s">
        <v>100</v>
      </c>
      <c r="M784" t="s">
        <v>74</v>
      </c>
      <c r="N784" t="s">
        <v>80</v>
      </c>
      <c r="O784" t="s">
        <v>2421</v>
      </c>
      <c r="P784" t="s">
        <v>59</v>
      </c>
      <c r="Q784">
        <v>2</v>
      </c>
      <c r="R784">
        <v>669.63</v>
      </c>
      <c r="S784" s="6">
        <v>0.15</v>
      </c>
      <c r="T784" s="6">
        <f t="shared" si="111"/>
        <v>0.15</v>
      </c>
      <c r="U784">
        <v>1138.3699999999999</v>
      </c>
      <c r="V784">
        <f t="shared" si="112"/>
        <v>1138.3709999999999</v>
      </c>
      <c r="W784" s="6">
        <f t="shared" si="113"/>
        <v>9.9999999997635314E-4</v>
      </c>
      <c r="X784">
        <v>797.34</v>
      </c>
      <c r="Y784">
        <v>341.03</v>
      </c>
      <c r="Z784">
        <f t="shared" si="114"/>
        <v>341.03099999999984</v>
      </c>
      <c r="AA784" s="6">
        <f t="shared" si="115"/>
        <v>9.999999998626663E-4</v>
      </c>
      <c r="AB784">
        <f t="shared" si="116"/>
        <v>0.29957808131092578</v>
      </c>
      <c r="AC784" t="s">
        <v>32</v>
      </c>
      <c r="AD784" t="s">
        <v>33</v>
      </c>
      <c r="AE784" t="s">
        <v>2828</v>
      </c>
    </row>
    <row r="785" spans="1:32">
      <c r="A785" t="s">
        <v>2422</v>
      </c>
      <c r="B785" s="3">
        <v>45479</v>
      </c>
      <c r="C785" t="str">
        <f t="shared" si="109"/>
        <v>July</v>
      </c>
      <c r="D785">
        <f t="shared" si="110"/>
        <v>2024</v>
      </c>
      <c r="E785" s="3">
        <v>45479</v>
      </c>
      <c r="F785">
        <f t="shared" si="108"/>
        <v>0</v>
      </c>
      <c r="G785" t="s">
        <v>2423</v>
      </c>
      <c r="H785" t="s">
        <v>128</v>
      </c>
      <c r="I785" t="s">
        <v>37</v>
      </c>
      <c r="J785" t="s">
        <v>38</v>
      </c>
      <c r="K785" t="s">
        <v>145</v>
      </c>
      <c r="L785" t="s">
        <v>146</v>
      </c>
      <c r="M785" t="s">
        <v>28</v>
      </c>
      <c r="N785" t="s">
        <v>48</v>
      </c>
      <c r="O785" t="s">
        <v>2424</v>
      </c>
      <c r="P785" t="s">
        <v>31</v>
      </c>
      <c r="Q785">
        <v>1</v>
      </c>
      <c r="R785">
        <v>2581.9299999999998</v>
      </c>
      <c r="S785" s="6">
        <v>0.05</v>
      </c>
      <c r="T785" s="6">
        <f t="shared" si="111"/>
        <v>0.05</v>
      </c>
      <c r="U785">
        <v>2452.83</v>
      </c>
      <c r="V785">
        <f t="shared" si="112"/>
        <v>2452.8334999999997</v>
      </c>
      <c r="W785" s="6">
        <f t="shared" si="113"/>
        <v>3.4999999998035491E-3</v>
      </c>
      <c r="X785">
        <v>1906.7</v>
      </c>
      <c r="Y785">
        <v>546.13</v>
      </c>
      <c r="Z785">
        <f t="shared" si="114"/>
        <v>546.13349999999969</v>
      </c>
      <c r="AA785" s="6">
        <f t="shared" si="115"/>
        <v>3.4999999996898623E-3</v>
      </c>
      <c r="AB785">
        <f t="shared" si="116"/>
        <v>0.22265412634000625</v>
      </c>
      <c r="AC785" t="s">
        <v>32</v>
      </c>
      <c r="AD785" t="s">
        <v>33</v>
      </c>
      <c r="AE785" t="s">
        <v>2828</v>
      </c>
    </row>
    <row r="786" spans="1:32">
      <c r="A786" t="s">
        <v>2425</v>
      </c>
      <c r="B786" s="3">
        <v>45934</v>
      </c>
      <c r="C786" t="str">
        <f t="shared" si="109"/>
        <v>October</v>
      </c>
      <c r="D786">
        <f t="shared" si="110"/>
        <v>2025</v>
      </c>
      <c r="E786" s="3">
        <v>45787</v>
      </c>
      <c r="F786">
        <f t="shared" si="108"/>
        <v>-147</v>
      </c>
      <c r="G786" t="s">
        <v>2426</v>
      </c>
      <c r="H786" t="s">
        <v>114</v>
      </c>
      <c r="I786" t="s">
        <v>90</v>
      </c>
      <c r="J786" t="s">
        <v>25</v>
      </c>
      <c r="K786" t="s">
        <v>122</v>
      </c>
      <c r="L786" t="s">
        <v>123</v>
      </c>
      <c r="M786" t="s">
        <v>74</v>
      </c>
      <c r="N786" t="s">
        <v>80</v>
      </c>
      <c r="O786" t="s">
        <v>2427</v>
      </c>
      <c r="P786" t="s">
        <v>50</v>
      </c>
      <c r="Q786">
        <v>4</v>
      </c>
      <c r="R786">
        <v>418.18</v>
      </c>
      <c r="S786" s="6">
        <v>0.05</v>
      </c>
      <c r="T786" s="6">
        <f t="shared" si="111"/>
        <v>0.05</v>
      </c>
      <c r="U786">
        <v>1589.08</v>
      </c>
      <c r="V786">
        <f t="shared" si="112"/>
        <v>1589.0840000000001</v>
      </c>
      <c r="W786" s="6">
        <f t="shared" si="113"/>
        <v>4.0000000001327862E-3</v>
      </c>
      <c r="X786">
        <v>1084.6600000000001</v>
      </c>
      <c r="Y786">
        <v>504.42</v>
      </c>
      <c r="Z786">
        <f t="shared" si="114"/>
        <v>504.42399999999998</v>
      </c>
      <c r="AA786" s="6">
        <f t="shared" si="115"/>
        <v>3.999999999962256E-3</v>
      </c>
      <c r="AB786">
        <f t="shared" si="116"/>
        <v>0.31743067075120002</v>
      </c>
      <c r="AC786" t="s">
        <v>32</v>
      </c>
      <c r="AD786" t="s">
        <v>33</v>
      </c>
      <c r="AE786" t="s">
        <v>2826</v>
      </c>
      <c r="AF786" s="10" t="s">
        <v>2790</v>
      </c>
    </row>
    <row r="787" spans="1:32">
      <c r="A787" t="s">
        <v>2428</v>
      </c>
      <c r="B787" s="3">
        <v>45435</v>
      </c>
      <c r="C787" t="str">
        <f t="shared" si="109"/>
        <v>May</v>
      </c>
      <c r="D787">
        <f t="shared" si="110"/>
        <v>2024</v>
      </c>
      <c r="E787" s="3">
        <v>45441</v>
      </c>
      <c r="F787">
        <f t="shared" si="108"/>
        <v>6</v>
      </c>
      <c r="G787" t="s">
        <v>2429</v>
      </c>
      <c r="H787" t="s">
        <v>162</v>
      </c>
      <c r="I787" t="s">
        <v>37</v>
      </c>
      <c r="J787" t="s">
        <v>25</v>
      </c>
      <c r="K787" t="s">
        <v>236</v>
      </c>
      <c r="L787" t="s">
        <v>237</v>
      </c>
      <c r="M787" t="s">
        <v>28</v>
      </c>
      <c r="N787" t="s">
        <v>124</v>
      </c>
      <c r="O787" t="s">
        <v>2430</v>
      </c>
      <c r="P787" t="s">
        <v>44</v>
      </c>
      <c r="Q787">
        <v>2</v>
      </c>
      <c r="R787">
        <v>3012.94</v>
      </c>
      <c r="S787" s="6">
        <v>0.25</v>
      </c>
      <c r="T787" s="6">
        <f t="shared" si="111"/>
        <v>0.25</v>
      </c>
      <c r="U787">
        <v>4519.41</v>
      </c>
      <c r="V787">
        <f t="shared" si="112"/>
        <v>4519.41</v>
      </c>
      <c r="W787" s="6">
        <f t="shared" si="113"/>
        <v>0</v>
      </c>
      <c r="X787">
        <v>3504.16</v>
      </c>
      <c r="Y787">
        <v>1275.55</v>
      </c>
      <c r="Z787">
        <f t="shared" si="114"/>
        <v>1015.25</v>
      </c>
      <c r="AA787" s="6">
        <f t="shared" si="115"/>
        <v>-260.29999999999995</v>
      </c>
      <c r="AB787">
        <f t="shared" si="116"/>
        <v>0.22464215461752751</v>
      </c>
      <c r="AC787" t="s">
        <v>155</v>
      </c>
      <c r="AD787" t="s">
        <v>68</v>
      </c>
      <c r="AE787" t="s">
        <v>2827</v>
      </c>
      <c r="AF787" s="10" t="s">
        <v>2796</v>
      </c>
    </row>
    <row r="788" spans="1:32">
      <c r="A788" t="s">
        <v>2431</v>
      </c>
      <c r="B788" s="3">
        <v>45844</v>
      </c>
      <c r="C788" t="str">
        <f t="shared" si="109"/>
        <v>July</v>
      </c>
      <c r="D788">
        <f t="shared" si="110"/>
        <v>2025</v>
      </c>
      <c r="E788" s="3">
        <v>45876</v>
      </c>
      <c r="F788">
        <f t="shared" si="108"/>
        <v>32</v>
      </c>
      <c r="G788" t="s">
        <v>2432</v>
      </c>
      <c r="H788" t="s">
        <v>62</v>
      </c>
      <c r="I788" t="s">
        <v>90</v>
      </c>
      <c r="J788" t="s">
        <v>25</v>
      </c>
      <c r="K788" t="s">
        <v>26</v>
      </c>
      <c r="L788" t="s">
        <v>27</v>
      </c>
      <c r="M788" t="s">
        <v>41</v>
      </c>
      <c r="N788" t="s">
        <v>57</v>
      </c>
      <c r="O788" t="s">
        <v>2433</v>
      </c>
      <c r="P788" t="s">
        <v>2781</v>
      </c>
      <c r="Q788">
        <v>4</v>
      </c>
      <c r="R788">
        <v>715.45</v>
      </c>
      <c r="S788" s="6">
        <v>0.05</v>
      </c>
      <c r="T788" s="6">
        <f t="shared" si="111"/>
        <v>0.05</v>
      </c>
      <c r="U788">
        <v>2718.71</v>
      </c>
      <c r="V788">
        <f t="shared" si="112"/>
        <v>2718.71</v>
      </c>
      <c r="W788" s="6">
        <f t="shared" si="113"/>
        <v>0</v>
      </c>
      <c r="X788">
        <v>2065.0500000000002</v>
      </c>
      <c r="Y788">
        <v>653.66</v>
      </c>
      <c r="Z788">
        <f t="shared" si="114"/>
        <v>653.65999999999985</v>
      </c>
      <c r="AA788" s="6">
        <f t="shared" si="115"/>
        <v>0</v>
      </c>
      <c r="AB788">
        <f t="shared" si="116"/>
        <v>0.24043020403058799</v>
      </c>
      <c r="AC788" t="s">
        <v>102</v>
      </c>
      <c r="AD788" t="s">
        <v>103</v>
      </c>
      <c r="AE788" t="s">
        <v>2827</v>
      </c>
      <c r="AF788" t="s">
        <v>2834</v>
      </c>
    </row>
    <row r="789" spans="1:32">
      <c r="A789" t="s">
        <v>2434</v>
      </c>
      <c r="B789" s="3">
        <v>45635</v>
      </c>
      <c r="C789" t="str">
        <f t="shared" si="109"/>
        <v>December</v>
      </c>
      <c r="D789">
        <f t="shared" si="110"/>
        <v>2024</v>
      </c>
      <c r="E789" s="3">
        <v>45553</v>
      </c>
      <c r="F789">
        <f t="shared" si="108"/>
        <v>-82</v>
      </c>
      <c r="G789" t="s">
        <v>2435</v>
      </c>
      <c r="H789" t="s">
        <v>62</v>
      </c>
      <c r="I789" t="s">
        <v>95</v>
      </c>
      <c r="J789" t="s">
        <v>38</v>
      </c>
      <c r="K789" t="s">
        <v>145</v>
      </c>
      <c r="L789" t="s">
        <v>146</v>
      </c>
      <c r="M789" t="s">
        <v>28</v>
      </c>
      <c r="N789" t="s">
        <v>29</v>
      </c>
      <c r="O789" t="s">
        <v>2436</v>
      </c>
      <c r="P789" t="s">
        <v>31</v>
      </c>
      <c r="Q789">
        <v>2</v>
      </c>
      <c r="R789">
        <v>3718.77</v>
      </c>
      <c r="S789" s="6">
        <v>0.05</v>
      </c>
      <c r="T789" s="6">
        <f t="shared" si="111"/>
        <v>0.05</v>
      </c>
      <c r="U789">
        <v>7065.66</v>
      </c>
      <c r="V789">
        <f t="shared" si="112"/>
        <v>7065.6629999999996</v>
      </c>
      <c r="W789" s="6">
        <f t="shared" si="113"/>
        <v>2.9999999997016857E-3</v>
      </c>
      <c r="X789">
        <v>4915.2700000000004</v>
      </c>
      <c r="Y789">
        <v>2150.39</v>
      </c>
      <c r="Z789">
        <f t="shared" si="114"/>
        <v>2150.3929999999991</v>
      </c>
      <c r="AA789" s="6">
        <f t="shared" si="115"/>
        <v>2.9999999992469384E-3</v>
      </c>
      <c r="AB789">
        <f t="shared" si="116"/>
        <v>0.30434412170521002</v>
      </c>
      <c r="AC789" t="s">
        <v>32</v>
      </c>
      <c r="AD789" t="s">
        <v>33</v>
      </c>
      <c r="AE789" t="s">
        <v>2826</v>
      </c>
      <c r="AF789" s="10" t="s">
        <v>2790</v>
      </c>
    </row>
    <row r="790" spans="1:32">
      <c r="A790" t="s">
        <v>2437</v>
      </c>
      <c r="B790" s="3">
        <v>45299</v>
      </c>
      <c r="C790" t="str">
        <f t="shared" si="109"/>
        <v>January</v>
      </c>
      <c r="D790">
        <f t="shared" si="110"/>
        <v>2024</v>
      </c>
      <c r="E790" s="3">
        <v>45330</v>
      </c>
      <c r="F790">
        <f t="shared" si="108"/>
        <v>31</v>
      </c>
      <c r="G790" t="s">
        <v>2438</v>
      </c>
      <c r="H790" t="s">
        <v>47</v>
      </c>
      <c r="I790" t="s">
        <v>90</v>
      </c>
      <c r="J790" t="s">
        <v>25</v>
      </c>
      <c r="K790" t="s">
        <v>136</v>
      </c>
      <c r="L790" t="s">
        <v>137</v>
      </c>
      <c r="M790" t="s">
        <v>41</v>
      </c>
      <c r="N790" t="s">
        <v>66</v>
      </c>
      <c r="O790" t="s">
        <v>2439</v>
      </c>
      <c r="P790" t="s">
        <v>59</v>
      </c>
      <c r="Q790">
        <v>8</v>
      </c>
      <c r="R790">
        <v>2487.64</v>
      </c>
      <c r="S790" s="6">
        <v>0.1</v>
      </c>
      <c r="T790" s="6">
        <f t="shared" si="111"/>
        <v>0.1</v>
      </c>
      <c r="U790">
        <v>17911.009999999998</v>
      </c>
      <c r="V790">
        <f t="shared" si="112"/>
        <v>17911.007999999998</v>
      </c>
      <c r="W790" s="6">
        <f t="shared" si="113"/>
        <v>-2.0000000004074536E-3</v>
      </c>
      <c r="X790">
        <v>11546.05</v>
      </c>
      <c r="Y790">
        <v>6364.96</v>
      </c>
      <c r="Z790">
        <f t="shared" si="114"/>
        <v>6364.9579999999987</v>
      </c>
      <c r="AA790" s="6">
        <f t="shared" si="115"/>
        <v>-2.0000000013169483E-3</v>
      </c>
      <c r="AB790">
        <f t="shared" si="116"/>
        <v>0.35536570582738836</v>
      </c>
      <c r="AC790" t="s">
        <v>155</v>
      </c>
      <c r="AD790" t="s">
        <v>103</v>
      </c>
      <c r="AE790" t="s">
        <v>2827</v>
      </c>
      <c r="AF790" s="10" t="s">
        <v>2821</v>
      </c>
    </row>
    <row r="791" spans="1:32">
      <c r="A791" t="s">
        <v>2440</v>
      </c>
      <c r="B791" s="3">
        <v>45841</v>
      </c>
      <c r="C791" t="str">
        <f t="shared" si="109"/>
        <v>July</v>
      </c>
      <c r="D791">
        <f t="shared" si="110"/>
        <v>2025</v>
      </c>
      <c r="E791" s="3">
        <v>45872</v>
      </c>
      <c r="F791">
        <f t="shared" si="108"/>
        <v>31</v>
      </c>
      <c r="G791" t="s">
        <v>2441</v>
      </c>
      <c r="H791" t="s">
        <v>114</v>
      </c>
      <c r="I791" t="s">
        <v>95</v>
      </c>
      <c r="J791" t="s">
        <v>2781</v>
      </c>
      <c r="K791" t="s">
        <v>26</v>
      </c>
      <c r="L791" t="s">
        <v>109</v>
      </c>
      <c r="M791" t="s">
        <v>74</v>
      </c>
      <c r="N791" t="s">
        <v>80</v>
      </c>
      <c r="O791" t="s">
        <v>2442</v>
      </c>
      <c r="P791" t="s">
        <v>44</v>
      </c>
      <c r="Q791">
        <v>4</v>
      </c>
      <c r="R791">
        <v>3537.48</v>
      </c>
      <c r="S791" s="6">
        <v>0</v>
      </c>
      <c r="T791" s="6">
        <f t="shared" si="111"/>
        <v>0</v>
      </c>
      <c r="U791">
        <v>14149.92</v>
      </c>
      <c r="V791">
        <f t="shared" si="112"/>
        <v>14149.92</v>
      </c>
      <c r="W791" s="6">
        <f t="shared" si="113"/>
        <v>0</v>
      </c>
      <c r="X791">
        <v>9466.51</v>
      </c>
      <c r="Y791">
        <v>4683.41</v>
      </c>
      <c r="Z791">
        <f t="shared" si="114"/>
        <v>4683.41</v>
      </c>
      <c r="AA791" s="6">
        <f t="shared" si="115"/>
        <v>0</v>
      </c>
      <c r="AB791">
        <f t="shared" si="116"/>
        <v>0.33098491016203624</v>
      </c>
      <c r="AC791" t="s">
        <v>32</v>
      </c>
      <c r="AD791" t="s">
        <v>33</v>
      </c>
      <c r="AE791" t="s">
        <v>2828</v>
      </c>
    </row>
    <row r="792" spans="1:32">
      <c r="A792" t="s">
        <v>2443</v>
      </c>
      <c r="B792" s="3">
        <v>45443</v>
      </c>
      <c r="C792" t="str">
        <f t="shared" si="109"/>
        <v>May</v>
      </c>
      <c r="D792">
        <f t="shared" si="110"/>
        <v>2024</v>
      </c>
      <c r="E792" s="3">
        <v>45328</v>
      </c>
      <c r="F792">
        <f t="shared" si="108"/>
        <v>-115</v>
      </c>
      <c r="G792" t="s">
        <v>2444</v>
      </c>
      <c r="H792" t="s">
        <v>118</v>
      </c>
      <c r="I792" t="s">
        <v>90</v>
      </c>
      <c r="J792" t="s">
        <v>54</v>
      </c>
      <c r="K792" t="s">
        <v>84</v>
      </c>
      <c r="L792" t="s">
        <v>85</v>
      </c>
      <c r="M792" t="s">
        <v>28</v>
      </c>
      <c r="N792" t="s">
        <v>48</v>
      </c>
      <c r="O792" t="s">
        <v>2445</v>
      </c>
      <c r="P792" t="s">
        <v>59</v>
      </c>
      <c r="Q792">
        <v>8</v>
      </c>
      <c r="R792">
        <v>667.59</v>
      </c>
      <c r="S792" s="6">
        <v>0.2</v>
      </c>
      <c r="T792" s="6">
        <f t="shared" si="111"/>
        <v>0.2</v>
      </c>
      <c r="U792">
        <v>4272.58</v>
      </c>
      <c r="V792">
        <f t="shared" si="112"/>
        <v>4272.576</v>
      </c>
      <c r="W792" s="6">
        <f t="shared" si="113"/>
        <v>-3.9999999999054126E-3</v>
      </c>
      <c r="X792">
        <v>3328.92</v>
      </c>
      <c r="Y792">
        <v>943.66</v>
      </c>
      <c r="Z792">
        <f t="shared" si="114"/>
        <v>943.65599999999995</v>
      </c>
      <c r="AA792" s="6">
        <f t="shared" si="115"/>
        <v>-4.0000000000190994E-3</v>
      </c>
      <c r="AB792">
        <f t="shared" si="116"/>
        <v>0.22086347908147214</v>
      </c>
      <c r="AC792" t="s">
        <v>32</v>
      </c>
      <c r="AD792" t="s">
        <v>33</v>
      </c>
      <c r="AE792" t="s">
        <v>2826</v>
      </c>
      <c r="AF792" s="10" t="s">
        <v>2790</v>
      </c>
    </row>
    <row r="793" spans="1:32">
      <c r="A793" t="s">
        <v>2446</v>
      </c>
      <c r="B793" s="3">
        <v>45332</v>
      </c>
      <c r="C793" t="str">
        <f t="shared" si="109"/>
        <v>February</v>
      </c>
      <c r="D793">
        <f t="shared" si="110"/>
        <v>2024</v>
      </c>
      <c r="E793" s="3">
        <v>45453</v>
      </c>
      <c r="F793">
        <f t="shared" si="108"/>
        <v>121</v>
      </c>
      <c r="G793" t="s">
        <v>2447</v>
      </c>
      <c r="H793" t="s">
        <v>118</v>
      </c>
      <c r="I793" t="s">
        <v>95</v>
      </c>
      <c r="J793" t="s">
        <v>54</v>
      </c>
      <c r="K793" t="s">
        <v>175</v>
      </c>
      <c r="L793" t="s">
        <v>176</v>
      </c>
      <c r="M793" t="s">
        <v>41</v>
      </c>
      <c r="N793" t="s">
        <v>158</v>
      </c>
      <c r="O793" t="s">
        <v>2448</v>
      </c>
      <c r="P793" t="s">
        <v>44</v>
      </c>
      <c r="Q793">
        <v>8</v>
      </c>
      <c r="R793">
        <v>1558.77</v>
      </c>
      <c r="S793" s="6">
        <v>0.25</v>
      </c>
      <c r="T793" s="6">
        <f t="shared" si="111"/>
        <v>0.25</v>
      </c>
      <c r="U793">
        <v>9352.6200000000008</v>
      </c>
      <c r="V793">
        <f t="shared" si="112"/>
        <v>9352.619999999999</v>
      </c>
      <c r="W793" s="6">
        <f t="shared" si="113"/>
        <v>0</v>
      </c>
      <c r="X793">
        <v>5269.41</v>
      </c>
      <c r="Y793">
        <v>4083.21</v>
      </c>
      <c r="Z793">
        <f t="shared" si="114"/>
        <v>4083.2099999999991</v>
      </c>
      <c r="AA793" s="6">
        <f t="shared" si="115"/>
        <v>0</v>
      </c>
      <c r="AB793">
        <f t="shared" si="116"/>
        <v>0.43658461479243243</v>
      </c>
      <c r="AC793" t="s">
        <v>32</v>
      </c>
      <c r="AD793" t="s">
        <v>33</v>
      </c>
      <c r="AE793" t="s">
        <v>2828</v>
      </c>
    </row>
    <row r="794" spans="1:32">
      <c r="A794" t="s">
        <v>2449</v>
      </c>
      <c r="B794" s="3">
        <v>45753</v>
      </c>
      <c r="C794" t="str">
        <f t="shared" si="109"/>
        <v>April</v>
      </c>
      <c r="D794">
        <f t="shared" si="110"/>
        <v>2025</v>
      </c>
      <c r="E794" s="3">
        <v>45875</v>
      </c>
      <c r="F794">
        <f t="shared" si="108"/>
        <v>122</v>
      </c>
      <c r="G794" t="s">
        <v>2450</v>
      </c>
      <c r="H794" t="s">
        <v>53</v>
      </c>
      <c r="I794" t="s">
        <v>37</v>
      </c>
      <c r="J794" t="s">
        <v>38</v>
      </c>
      <c r="K794" t="s">
        <v>166</v>
      </c>
      <c r="L794" t="s">
        <v>167</v>
      </c>
      <c r="M794" t="s">
        <v>41</v>
      </c>
      <c r="N794" t="s">
        <v>57</v>
      </c>
      <c r="O794" t="s">
        <v>2451</v>
      </c>
      <c r="P794" t="s">
        <v>31</v>
      </c>
      <c r="Q794">
        <v>1</v>
      </c>
      <c r="R794">
        <v>3501.12</v>
      </c>
      <c r="S794" s="6">
        <v>0.2</v>
      </c>
      <c r="T794" s="6">
        <f t="shared" si="111"/>
        <v>0.2</v>
      </c>
      <c r="U794">
        <v>2800.9</v>
      </c>
      <c r="V794">
        <f t="shared" si="112"/>
        <v>2800.8960000000002</v>
      </c>
      <c r="W794" s="6">
        <f t="shared" si="113"/>
        <v>-3.9999999999054126E-3</v>
      </c>
      <c r="X794">
        <v>1735.98</v>
      </c>
      <c r="Y794">
        <v>1064.92</v>
      </c>
      <c r="Z794">
        <f t="shared" si="114"/>
        <v>1064.9160000000002</v>
      </c>
      <c r="AA794" s="6">
        <f t="shared" si="115"/>
        <v>-3.9999999999054126E-3</v>
      </c>
      <c r="AB794">
        <f t="shared" si="116"/>
        <v>0.38020547710446945</v>
      </c>
      <c r="AC794" t="s">
        <v>32</v>
      </c>
      <c r="AD794" t="s">
        <v>103</v>
      </c>
      <c r="AE794" t="s">
        <v>2827</v>
      </c>
      <c r="AF794" t="s">
        <v>103</v>
      </c>
    </row>
    <row r="795" spans="1:32">
      <c r="A795" t="s">
        <v>2452</v>
      </c>
      <c r="B795" s="3">
        <v>45440</v>
      </c>
      <c r="C795" t="str">
        <f t="shared" si="109"/>
        <v>May</v>
      </c>
      <c r="D795">
        <f t="shared" si="110"/>
        <v>2024</v>
      </c>
      <c r="E795" s="3">
        <v>45357</v>
      </c>
      <c r="F795">
        <f t="shared" si="108"/>
        <v>-83</v>
      </c>
      <c r="G795" t="s">
        <v>2453</v>
      </c>
      <c r="H795" t="s">
        <v>71</v>
      </c>
      <c r="I795" t="s">
        <v>90</v>
      </c>
      <c r="J795" t="s">
        <v>25</v>
      </c>
      <c r="K795" t="s">
        <v>26</v>
      </c>
      <c r="L795" t="s">
        <v>27</v>
      </c>
      <c r="M795" t="s">
        <v>74</v>
      </c>
      <c r="N795" t="s">
        <v>80</v>
      </c>
      <c r="O795" t="s">
        <v>2454</v>
      </c>
      <c r="P795" t="s">
        <v>31</v>
      </c>
      <c r="Q795">
        <v>5</v>
      </c>
      <c r="R795">
        <v>4302.32</v>
      </c>
      <c r="S795" s="6">
        <v>0</v>
      </c>
      <c r="T795" s="6">
        <f t="shared" si="111"/>
        <v>0</v>
      </c>
      <c r="U795">
        <v>21511.599999999999</v>
      </c>
      <c r="V795">
        <f t="shared" si="112"/>
        <v>21511.599999999999</v>
      </c>
      <c r="W795" s="6">
        <f t="shared" si="113"/>
        <v>0</v>
      </c>
      <c r="X795">
        <v>15408.47</v>
      </c>
      <c r="Y795">
        <v>6103.13</v>
      </c>
      <c r="Z795">
        <f t="shared" si="114"/>
        <v>6103.1299999999992</v>
      </c>
      <c r="AA795" s="6">
        <f t="shared" si="115"/>
        <v>0</v>
      </c>
      <c r="AB795">
        <f t="shared" si="116"/>
        <v>0.28371343833094703</v>
      </c>
      <c r="AC795" t="s">
        <v>32</v>
      </c>
      <c r="AD795" t="s">
        <v>33</v>
      </c>
      <c r="AE795" t="s">
        <v>2826</v>
      </c>
      <c r="AF795" s="10" t="s">
        <v>2790</v>
      </c>
    </row>
    <row r="796" spans="1:32">
      <c r="A796" t="s">
        <v>2455</v>
      </c>
      <c r="B796" s="3">
        <v>45830</v>
      </c>
      <c r="C796" t="str">
        <f t="shared" si="109"/>
        <v>June</v>
      </c>
      <c r="D796">
        <f t="shared" si="110"/>
        <v>2025</v>
      </c>
      <c r="E796" s="3">
        <v>45832</v>
      </c>
      <c r="F796">
        <f t="shared" si="108"/>
        <v>2</v>
      </c>
      <c r="G796" t="s">
        <v>2456</v>
      </c>
      <c r="H796" t="s">
        <v>132</v>
      </c>
      <c r="I796" t="s">
        <v>90</v>
      </c>
      <c r="J796" t="s">
        <v>38</v>
      </c>
      <c r="K796" t="s">
        <v>166</v>
      </c>
      <c r="L796" t="s">
        <v>167</v>
      </c>
      <c r="M796" t="s">
        <v>28</v>
      </c>
      <c r="N796" t="s">
        <v>29</v>
      </c>
      <c r="O796" t="s">
        <v>2457</v>
      </c>
      <c r="P796" t="s">
        <v>59</v>
      </c>
      <c r="Q796">
        <v>9</v>
      </c>
      <c r="R796">
        <v>951.55</v>
      </c>
      <c r="S796" s="6">
        <v>0.15</v>
      </c>
      <c r="T796" s="6">
        <f t="shared" si="111"/>
        <v>0.15</v>
      </c>
      <c r="U796">
        <v>7279.36</v>
      </c>
      <c r="V796">
        <f t="shared" si="112"/>
        <v>7279.3574999999992</v>
      </c>
      <c r="W796" s="6">
        <f t="shared" si="113"/>
        <v>-2.500000000509317E-3</v>
      </c>
      <c r="X796">
        <v>4870.3900000000003</v>
      </c>
      <c r="Y796">
        <v>2408.9699999999998</v>
      </c>
      <c r="Z796">
        <f t="shared" si="114"/>
        <v>2408.9674999999988</v>
      </c>
      <c r="AA796" s="6">
        <f t="shared" si="115"/>
        <v>-2.5000000009640644E-3</v>
      </c>
      <c r="AB796">
        <f t="shared" si="116"/>
        <v>0.33093133562955235</v>
      </c>
      <c r="AC796" t="s">
        <v>32</v>
      </c>
      <c r="AD796" t="s">
        <v>33</v>
      </c>
      <c r="AE796" t="s">
        <v>2828</v>
      </c>
    </row>
    <row r="797" spans="1:32">
      <c r="A797" t="s">
        <v>2458</v>
      </c>
      <c r="B797" s="3">
        <v>45503</v>
      </c>
      <c r="C797" t="str">
        <f t="shared" si="109"/>
        <v>July</v>
      </c>
      <c r="D797">
        <f t="shared" si="110"/>
        <v>2024</v>
      </c>
      <c r="E797" s="3">
        <v>45503</v>
      </c>
      <c r="F797">
        <f t="shared" si="108"/>
        <v>0</v>
      </c>
      <c r="G797" t="s">
        <v>2459</v>
      </c>
      <c r="H797" t="s">
        <v>162</v>
      </c>
      <c r="I797" t="s">
        <v>95</v>
      </c>
      <c r="J797" t="s">
        <v>38</v>
      </c>
      <c r="K797" t="s">
        <v>39</v>
      </c>
      <c r="L797" t="s">
        <v>40</v>
      </c>
      <c r="M797" t="s">
        <v>74</v>
      </c>
      <c r="N797" t="s">
        <v>80</v>
      </c>
      <c r="O797" t="s">
        <v>2460</v>
      </c>
      <c r="P797" t="s">
        <v>44</v>
      </c>
      <c r="Q797">
        <v>9</v>
      </c>
      <c r="R797">
        <v>2894.66</v>
      </c>
      <c r="S797" s="6">
        <v>0</v>
      </c>
      <c r="T797" s="6">
        <f t="shared" si="111"/>
        <v>0</v>
      </c>
      <c r="U797">
        <v>26051.94</v>
      </c>
      <c r="V797">
        <f t="shared" si="112"/>
        <v>26051.94</v>
      </c>
      <c r="W797" s="6">
        <f t="shared" si="113"/>
        <v>0</v>
      </c>
      <c r="X797">
        <v>16883.59</v>
      </c>
      <c r="Y797">
        <v>9168.35</v>
      </c>
      <c r="Z797">
        <f t="shared" si="114"/>
        <v>9168.3499999999985</v>
      </c>
      <c r="AA797" s="6">
        <f t="shared" si="115"/>
        <v>0</v>
      </c>
      <c r="AB797">
        <f t="shared" si="116"/>
        <v>0.3519258066769691</v>
      </c>
      <c r="AC797" t="s">
        <v>102</v>
      </c>
      <c r="AD797" t="s">
        <v>68</v>
      </c>
      <c r="AE797" t="s">
        <v>2827</v>
      </c>
      <c r="AF797" t="s">
        <v>2808</v>
      </c>
    </row>
    <row r="798" spans="1:32">
      <c r="A798" t="s">
        <v>2461</v>
      </c>
      <c r="B798" s="3">
        <v>45374</v>
      </c>
      <c r="C798" t="str">
        <f t="shared" si="109"/>
        <v>March</v>
      </c>
      <c r="D798">
        <f t="shared" si="110"/>
        <v>2024</v>
      </c>
      <c r="E798" s="3">
        <v>45381</v>
      </c>
      <c r="F798">
        <f t="shared" si="108"/>
        <v>7</v>
      </c>
      <c r="G798" t="s">
        <v>2462</v>
      </c>
      <c r="H798" t="s">
        <v>141</v>
      </c>
      <c r="I798" t="s">
        <v>37</v>
      </c>
      <c r="J798" t="s">
        <v>54</v>
      </c>
      <c r="K798" t="s">
        <v>84</v>
      </c>
      <c r="L798" t="s">
        <v>85</v>
      </c>
      <c r="M798" t="s">
        <v>74</v>
      </c>
      <c r="N798" t="s">
        <v>274</v>
      </c>
      <c r="O798" t="s">
        <v>2463</v>
      </c>
      <c r="P798" t="s">
        <v>50</v>
      </c>
      <c r="Q798">
        <v>6</v>
      </c>
      <c r="R798">
        <v>1894.44</v>
      </c>
      <c r="S798" s="6">
        <v>0.15</v>
      </c>
      <c r="T798" s="6">
        <f t="shared" si="111"/>
        <v>0.15</v>
      </c>
      <c r="U798">
        <v>9661.64</v>
      </c>
      <c r="V798">
        <f t="shared" si="112"/>
        <v>9661.6439999999984</v>
      </c>
      <c r="W798" s="6">
        <f t="shared" si="113"/>
        <v>3.9999999989959178E-3</v>
      </c>
      <c r="X798">
        <v>6303.77</v>
      </c>
      <c r="Y798">
        <v>3357.87</v>
      </c>
      <c r="Z798">
        <f t="shared" si="114"/>
        <v>3357.873999999998</v>
      </c>
      <c r="AA798" s="6">
        <f t="shared" si="115"/>
        <v>3.9999999980864231E-3</v>
      </c>
      <c r="AB798">
        <f t="shared" si="116"/>
        <v>0.34754685641491223</v>
      </c>
      <c r="AC798" t="s">
        <v>32</v>
      </c>
      <c r="AD798" t="s">
        <v>33</v>
      </c>
      <c r="AE798" t="s">
        <v>2828</v>
      </c>
    </row>
    <row r="799" spans="1:32">
      <c r="A799" t="s">
        <v>2464</v>
      </c>
      <c r="B799" s="3">
        <v>45400</v>
      </c>
      <c r="C799" t="str">
        <f t="shared" si="109"/>
        <v>April</v>
      </c>
      <c r="D799">
        <f t="shared" si="110"/>
        <v>2024</v>
      </c>
      <c r="E799" s="3">
        <v>45404</v>
      </c>
      <c r="F799">
        <f t="shared" si="108"/>
        <v>4</v>
      </c>
      <c r="G799" t="s">
        <v>2465</v>
      </c>
      <c r="H799" t="s">
        <v>128</v>
      </c>
      <c r="I799" t="s">
        <v>24</v>
      </c>
      <c r="J799" t="s">
        <v>38</v>
      </c>
      <c r="K799" t="s">
        <v>39</v>
      </c>
      <c r="L799" t="s">
        <v>40</v>
      </c>
      <c r="M799" t="s">
        <v>28</v>
      </c>
      <c r="N799" t="s">
        <v>153</v>
      </c>
      <c r="O799" t="s">
        <v>2466</v>
      </c>
      <c r="P799" t="s">
        <v>50</v>
      </c>
      <c r="Q799">
        <v>8</v>
      </c>
      <c r="R799">
        <v>1714.37</v>
      </c>
      <c r="S799" s="6">
        <v>0</v>
      </c>
      <c r="T799" s="6">
        <f t="shared" si="111"/>
        <v>0</v>
      </c>
      <c r="U799">
        <v>13714.96</v>
      </c>
      <c r="V799">
        <f t="shared" si="112"/>
        <v>13714.96</v>
      </c>
      <c r="W799" s="6">
        <f t="shared" si="113"/>
        <v>0</v>
      </c>
      <c r="X799">
        <v>10550.47</v>
      </c>
      <c r="Y799">
        <v>3164.49</v>
      </c>
      <c r="Z799">
        <f t="shared" si="114"/>
        <v>3164.49</v>
      </c>
      <c r="AA799" s="6">
        <f t="shared" si="115"/>
        <v>0</v>
      </c>
      <c r="AB799">
        <f t="shared" si="116"/>
        <v>0.23073271814135804</v>
      </c>
      <c r="AC799" t="s">
        <v>155</v>
      </c>
      <c r="AD799" t="s">
        <v>68</v>
      </c>
      <c r="AE799" t="s">
        <v>2827</v>
      </c>
      <c r="AF799" s="10" t="s">
        <v>2796</v>
      </c>
    </row>
    <row r="800" spans="1:32">
      <c r="A800" t="s">
        <v>2467</v>
      </c>
      <c r="B800" s="3">
        <v>45968</v>
      </c>
      <c r="C800" t="str">
        <f t="shared" si="109"/>
        <v>November</v>
      </c>
      <c r="D800">
        <f t="shared" si="110"/>
        <v>2025</v>
      </c>
      <c r="E800" s="3">
        <v>45907</v>
      </c>
      <c r="F800">
        <f t="shared" si="108"/>
        <v>-61</v>
      </c>
      <c r="G800" t="s">
        <v>2468</v>
      </c>
      <c r="H800" t="s">
        <v>89</v>
      </c>
      <c r="I800" t="s">
        <v>90</v>
      </c>
      <c r="J800" t="s">
        <v>25</v>
      </c>
      <c r="K800" t="s">
        <v>350</v>
      </c>
      <c r="L800" t="s">
        <v>351</v>
      </c>
      <c r="M800" t="s">
        <v>41</v>
      </c>
      <c r="N800" t="s">
        <v>57</v>
      </c>
      <c r="O800" t="s">
        <v>2469</v>
      </c>
      <c r="P800" t="s">
        <v>59</v>
      </c>
      <c r="Q800">
        <v>9</v>
      </c>
      <c r="R800">
        <v>1706.05</v>
      </c>
      <c r="S800" s="6">
        <v>0</v>
      </c>
      <c r="T800" s="6">
        <f t="shared" si="111"/>
        <v>0</v>
      </c>
      <c r="U800">
        <v>15354.45</v>
      </c>
      <c r="V800">
        <f t="shared" si="112"/>
        <v>15354.449999999999</v>
      </c>
      <c r="W800" s="6">
        <f t="shared" si="113"/>
        <v>0</v>
      </c>
      <c r="X800">
        <v>9656.5</v>
      </c>
      <c r="Y800">
        <v>5697.95</v>
      </c>
      <c r="Z800">
        <f t="shared" si="114"/>
        <v>5697.9499999999989</v>
      </c>
      <c r="AA800" s="6">
        <f t="shared" si="115"/>
        <v>0</v>
      </c>
      <c r="AB800">
        <f t="shared" si="116"/>
        <v>0.37109437329243311</v>
      </c>
      <c r="AC800" t="s">
        <v>32</v>
      </c>
      <c r="AD800" t="s">
        <v>33</v>
      </c>
      <c r="AE800" t="s">
        <v>2826</v>
      </c>
      <c r="AF800" s="10" t="s">
        <v>2790</v>
      </c>
    </row>
    <row r="801" spans="1:32">
      <c r="A801" t="s">
        <v>2470</v>
      </c>
      <c r="B801" s="3">
        <v>45575</v>
      </c>
      <c r="C801" t="str">
        <f t="shared" si="109"/>
        <v>October</v>
      </c>
      <c r="D801">
        <f t="shared" si="110"/>
        <v>2024</v>
      </c>
      <c r="E801" s="3">
        <v>45582</v>
      </c>
      <c r="F801">
        <f t="shared" si="108"/>
        <v>7</v>
      </c>
      <c r="G801" t="s">
        <v>2471</v>
      </c>
      <c r="H801" t="s">
        <v>47</v>
      </c>
      <c r="I801" t="s">
        <v>95</v>
      </c>
      <c r="J801" t="s">
        <v>25</v>
      </c>
      <c r="K801" t="s">
        <v>236</v>
      </c>
      <c r="L801" t="s">
        <v>237</v>
      </c>
      <c r="M801" t="s">
        <v>74</v>
      </c>
      <c r="N801" t="s">
        <v>75</v>
      </c>
      <c r="O801" t="s">
        <v>2472</v>
      </c>
      <c r="P801" t="s">
        <v>2781</v>
      </c>
      <c r="Q801">
        <v>5</v>
      </c>
      <c r="R801">
        <v>967.41</v>
      </c>
      <c r="S801" s="6">
        <v>0.05</v>
      </c>
      <c r="T801" s="6">
        <f t="shared" si="111"/>
        <v>0.05</v>
      </c>
      <c r="U801">
        <v>4595.2</v>
      </c>
      <c r="V801">
        <f t="shared" si="112"/>
        <v>4595.1975000000002</v>
      </c>
      <c r="W801" s="6">
        <f t="shared" si="113"/>
        <v>-2.4999999995998223E-3</v>
      </c>
      <c r="X801">
        <v>3887.41</v>
      </c>
      <c r="Y801">
        <v>707.79</v>
      </c>
      <c r="Z801">
        <f t="shared" si="114"/>
        <v>707.78750000000036</v>
      </c>
      <c r="AA801" s="6">
        <f t="shared" si="115"/>
        <v>-2.4999999995998223E-3</v>
      </c>
      <c r="AB801">
        <f t="shared" si="116"/>
        <v>0.15402765604742785</v>
      </c>
      <c r="AC801" t="s">
        <v>32</v>
      </c>
      <c r="AD801" t="s">
        <v>103</v>
      </c>
      <c r="AE801" t="s">
        <v>2827</v>
      </c>
      <c r="AF801" t="s">
        <v>2835</v>
      </c>
    </row>
    <row r="802" spans="1:32">
      <c r="A802" t="s">
        <v>2473</v>
      </c>
      <c r="B802" s="3">
        <v>45294</v>
      </c>
      <c r="C802" t="str">
        <f t="shared" si="109"/>
        <v>January</v>
      </c>
      <c r="D802">
        <f t="shared" si="110"/>
        <v>2024</v>
      </c>
      <c r="E802" s="3">
        <v>45476</v>
      </c>
      <c r="F802">
        <f t="shared" si="108"/>
        <v>182</v>
      </c>
      <c r="G802" t="s">
        <v>2474</v>
      </c>
      <c r="H802" t="s">
        <v>71</v>
      </c>
      <c r="I802" t="s">
        <v>37</v>
      </c>
      <c r="J802" t="s">
        <v>63</v>
      </c>
      <c r="K802" t="s">
        <v>64</v>
      </c>
      <c r="L802" t="s">
        <v>65</v>
      </c>
      <c r="M802" t="s">
        <v>28</v>
      </c>
      <c r="N802" t="s">
        <v>124</v>
      </c>
      <c r="O802" t="s">
        <v>2475</v>
      </c>
      <c r="P802" t="s">
        <v>31</v>
      </c>
      <c r="Q802">
        <v>6</v>
      </c>
      <c r="R802">
        <v>4163.72</v>
      </c>
      <c r="S802" s="6">
        <v>0.15</v>
      </c>
      <c r="T802" s="6">
        <f t="shared" si="111"/>
        <v>0.15</v>
      </c>
      <c r="U802">
        <v>21234.97</v>
      </c>
      <c r="V802">
        <f t="shared" si="112"/>
        <v>21234.971999999998</v>
      </c>
      <c r="W802" s="6">
        <f t="shared" si="113"/>
        <v>1.9999999967694748E-3</v>
      </c>
      <c r="X802">
        <v>16736.09</v>
      </c>
      <c r="Y802">
        <v>4498.88</v>
      </c>
      <c r="Z802">
        <f t="shared" si="114"/>
        <v>4498.8819999999978</v>
      </c>
      <c r="AA802" s="6">
        <f t="shared" si="115"/>
        <v>1.9999999976789695E-3</v>
      </c>
      <c r="AB802">
        <f t="shared" si="116"/>
        <v>0.21186192286950029</v>
      </c>
      <c r="AC802" t="s">
        <v>32</v>
      </c>
      <c r="AD802" t="s">
        <v>33</v>
      </c>
      <c r="AE802" t="s">
        <v>2828</v>
      </c>
    </row>
    <row r="803" spans="1:32">
      <c r="A803" t="s">
        <v>2476</v>
      </c>
      <c r="B803" s="3">
        <v>45879</v>
      </c>
      <c r="C803" t="str">
        <f t="shared" si="109"/>
        <v>August</v>
      </c>
      <c r="D803">
        <f t="shared" si="110"/>
        <v>2025</v>
      </c>
      <c r="E803" s="3">
        <v>45945</v>
      </c>
      <c r="F803">
        <f t="shared" si="108"/>
        <v>66</v>
      </c>
      <c r="G803" t="s">
        <v>2477</v>
      </c>
      <c r="H803" t="s">
        <v>128</v>
      </c>
      <c r="I803" t="s">
        <v>95</v>
      </c>
      <c r="J803" t="s">
        <v>38</v>
      </c>
      <c r="K803" t="s">
        <v>39</v>
      </c>
      <c r="L803" t="s">
        <v>40</v>
      </c>
      <c r="M803" t="s">
        <v>74</v>
      </c>
      <c r="N803" t="s">
        <v>75</v>
      </c>
      <c r="O803" t="s">
        <v>2478</v>
      </c>
      <c r="P803" t="s">
        <v>31</v>
      </c>
      <c r="Q803">
        <v>3</v>
      </c>
      <c r="R803">
        <v>3372.21</v>
      </c>
      <c r="S803" s="6">
        <v>0.2</v>
      </c>
      <c r="T803" s="6">
        <f t="shared" si="111"/>
        <v>0.2</v>
      </c>
      <c r="U803">
        <v>8093.3</v>
      </c>
      <c r="V803">
        <f t="shared" si="112"/>
        <v>8093.304000000001</v>
      </c>
      <c r="W803" s="6">
        <f t="shared" si="113"/>
        <v>4.0000000008149073E-3</v>
      </c>
      <c r="X803">
        <v>6052.43</v>
      </c>
      <c r="Y803">
        <v>2040.87</v>
      </c>
      <c r="Z803">
        <f t="shared" si="114"/>
        <v>2040.8740000000007</v>
      </c>
      <c r="AA803" s="6">
        <f t="shared" si="115"/>
        <v>4.0000000008149073E-3</v>
      </c>
      <c r="AB803">
        <f t="shared" si="116"/>
        <v>0.25216821214179036</v>
      </c>
      <c r="AC803" t="s">
        <v>111</v>
      </c>
      <c r="AD803" t="s">
        <v>68</v>
      </c>
      <c r="AE803" t="s">
        <v>2827</v>
      </c>
      <c r="AF803" t="s">
        <v>2804</v>
      </c>
    </row>
    <row r="804" spans="1:32">
      <c r="A804" t="s">
        <v>2479</v>
      </c>
      <c r="B804" s="3">
        <v>45704</v>
      </c>
      <c r="C804" t="str">
        <f t="shared" si="109"/>
        <v>February</v>
      </c>
      <c r="D804">
        <f t="shared" si="110"/>
        <v>2025</v>
      </c>
      <c r="E804" s="3">
        <v>45704</v>
      </c>
      <c r="F804">
        <f t="shared" si="108"/>
        <v>0</v>
      </c>
      <c r="G804" t="s">
        <v>2480</v>
      </c>
      <c r="H804" t="s">
        <v>141</v>
      </c>
      <c r="I804" t="s">
        <v>37</v>
      </c>
      <c r="J804" t="s">
        <v>38</v>
      </c>
      <c r="K804" t="s">
        <v>166</v>
      </c>
      <c r="L804" t="s">
        <v>167</v>
      </c>
      <c r="M804" t="s">
        <v>41</v>
      </c>
      <c r="N804" t="s">
        <v>57</v>
      </c>
      <c r="O804" t="s">
        <v>2481</v>
      </c>
      <c r="P804" t="s">
        <v>31</v>
      </c>
      <c r="Q804">
        <v>6</v>
      </c>
      <c r="R804">
        <v>1441.91</v>
      </c>
      <c r="S804" s="6">
        <v>0</v>
      </c>
      <c r="T804" s="6">
        <f t="shared" si="111"/>
        <v>0</v>
      </c>
      <c r="U804">
        <v>8651.4599999999991</v>
      </c>
      <c r="V804">
        <f t="shared" si="112"/>
        <v>8651.4600000000009</v>
      </c>
      <c r="W804" s="6">
        <f t="shared" si="113"/>
        <v>0</v>
      </c>
      <c r="X804">
        <v>5254.62</v>
      </c>
      <c r="Y804">
        <v>3396.84</v>
      </c>
      <c r="Z804">
        <f t="shared" si="114"/>
        <v>3396.8400000000011</v>
      </c>
      <c r="AA804" s="6">
        <f t="shared" si="115"/>
        <v>0</v>
      </c>
      <c r="AB804">
        <f t="shared" si="116"/>
        <v>0.39263199506210522</v>
      </c>
      <c r="AC804" t="s">
        <v>155</v>
      </c>
      <c r="AD804" t="s">
        <v>103</v>
      </c>
      <c r="AE804" t="s">
        <v>2827</v>
      </c>
      <c r="AF804" s="10" t="s">
        <v>2821</v>
      </c>
    </row>
    <row r="805" spans="1:32">
      <c r="A805" t="s">
        <v>2482</v>
      </c>
      <c r="B805" s="3">
        <v>45547</v>
      </c>
      <c r="C805" t="str">
        <f t="shared" si="109"/>
        <v>September</v>
      </c>
      <c r="D805">
        <f t="shared" si="110"/>
        <v>2024</v>
      </c>
      <c r="E805" s="3">
        <v>45639</v>
      </c>
      <c r="F805">
        <f t="shared" si="108"/>
        <v>92</v>
      </c>
      <c r="G805" t="s">
        <v>2483</v>
      </c>
      <c r="H805" t="s">
        <v>141</v>
      </c>
      <c r="I805" t="s">
        <v>24</v>
      </c>
      <c r="J805" t="s">
        <v>2781</v>
      </c>
      <c r="K805" t="s">
        <v>228</v>
      </c>
      <c r="L805" t="s">
        <v>229</v>
      </c>
      <c r="M805" t="s">
        <v>28</v>
      </c>
      <c r="N805" t="s">
        <v>91</v>
      </c>
      <c r="O805" t="s">
        <v>2484</v>
      </c>
      <c r="P805" t="s">
        <v>50</v>
      </c>
      <c r="Q805">
        <v>1</v>
      </c>
      <c r="R805">
        <v>4306.6499999999996</v>
      </c>
      <c r="S805" s="6">
        <v>0</v>
      </c>
      <c r="T805" s="6">
        <f t="shared" si="111"/>
        <v>0</v>
      </c>
      <c r="U805">
        <v>4306.6499999999996</v>
      </c>
      <c r="V805">
        <f t="shared" si="112"/>
        <v>4306.6499999999996</v>
      </c>
      <c r="W805" s="6">
        <f t="shared" si="113"/>
        <v>0</v>
      </c>
      <c r="X805">
        <v>2568.8200000000002</v>
      </c>
      <c r="Y805">
        <v>1737.83</v>
      </c>
      <c r="Z805">
        <f t="shared" si="114"/>
        <v>1737.8299999999995</v>
      </c>
      <c r="AA805" s="6">
        <f t="shared" si="115"/>
        <v>0</v>
      </c>
      <c r="AB805">
        <f t="shared" si="116"/>
        <v>0.40352245945224235</v>
      </c>
      <c r="AC805" t="s">
        <v>32</v>
      </c>
      <c r="AD805" t="s">
        <v>33</v>
      </c>
      <c r="AE805" t="s">
        <v>2828</v>
      </c>
    </row>
    <row r="806" spans="1:32">
      <c r="A806" t="s">
        <v>2485</v>
      </c>
      <c r="B806" s="3">
        <v>45939</v>
      </c>
      <c r="C806" t="str">
        <f t="shared" si="109"/>
        <v>October</v>
      </c>
      <c r="D806">
        <f t="shared" si="110"/>
        <v>2025</v>
      </c>
      <c r="E806" s="3">
        <v>45918</v>
      </c>
      <c r="F806">
        <f t="shared" si="108"/>
        <v>-21</v>
      </c>
      <c r="G806" t="s">
        <v>2486</v>
      </c>
      <c r="H806" t="s">
        <v>118</v>
      </c>
      <c r="I806" t="s">
        <v>95</v>
      </c>
      <c r="J806" t="s">
        <v>54</v>
      </c>
      <c r="K806" t="s">
        <v>55</v>
      </c>
      <c r="L806" t="s">
        <v>56</v>
      </c>
      <c r="M806" t="s">
        <v>41</v>
      </c>
      <c r="N806" t="s">
        <v>57</v>
      </c>
      <c r="O806" t="s">
        <v>2487</v>
      </c>
      <c r="P806" t="s">
        <v>59</v>
      </c>
      <c r="Q806">
        <v>1</v>
      </c>
      <c r="R806">
        <v>2050.62</v>
      </c>
      <c r="S806" s="6">
        <v>0.05</v>
      </c>
      <c r="T806" s="6">
        <f t="shared" si="111"/>
        <v>0.05</v>
      </c>
      <c r="U806">
        <v>1948.09</v>
      </c>
      <c r="V806">
        <f t="shared" si="112"/>
        <v>1948.0889999999997</v>
      </c>
      <c r="W806" s="6">
        <f t="shared" si="113"/>
        <v>-1.0000000002037268E-3</v>
      </c>
      <c r="X806">
        <v>1507.08</v>
      </c>
      <c r="Y806">
        <v>441.01</v>
      </c>
      <c r="Z806">
        <f t="shared" si="114"/>
        <v>441.00899999999979</v>
      </c>
      <c r="AA806" s="6">
        <f t="shared" si="115"/>
        <v>-1.0000000002037268E-3</v>
      </c>
      <c r="AB806">
        <f t="shared" si="116"/>
        <v>0.22638031424642296</v>
      </c>
      <c r="AC806" t="s">
        <v>32</v>
      </c>
      <c r="AD806" t="s">
        <v>33</v>
      </c>
      <c r="AE806" t="s">
        <v>2826</v>
      </c>
      <c r="AF806" s="10" t="s">
        <v>2790</v>
      </c>
    </row>
    <row r="807" spans="1:32">
      <c r="A807" t="s">
        <v>2488</v>
      </c>
      <c r="B807" s="3">
        <v>45812</v>
      </c>
      <c r="C807" t="str">
        <f t="shared" si="109"/>
        <v>June</v>
      </c>
      <c r="D807">
        <f t="shared" si="110"/>
        <v>2025</v>
      </c>
      <c r="E807" s="3">
        <v>45842</v>
      </c>
      <c r="F807">
        <f t="shared" si="108"/>
        <v>30</v>
      </c>
      <c r="G807" t="s">
        <v>2353</v>
      </c>
      <c r="H807" t="s">
        <v>114</v>
      </c>
      <c r="I807" t="s">
        <v>95</v>
      </c>
      <c r="J807" t="s">
        <v>38</v>
      </c>
      <c r="K807" t="s">
        <v>166</v>
      </c>
      <c r="L807" t="s">
        <v>167</v>
      </c>
      <c r="M807" t="s">
        <v>28</v>
      </c>
      <c r="N807" t="s">
        <v>153</v>
      </c>
      <c r="O807" t="s">
        <v>2489</v>
      </c>
      <c r="P807" t="s">
        <v>31</v>
      </c>
      <c r="Q807">
        <v>2</v>
      </c>
      <c r="R807">
        <v>2030.06</v>
      </c>
      <c r="S807" s="6">
        <v>0.25</v>
      </c>
      <c r="T807" s="6">
        <f t="shared" si="111"/>
        <v>0.25</v>
      </c>
      <c r="U807">
        <v>3045.09</v>
      </c>
      <c r="V807">
        <f t="shared" si="112"/>
        <v>3045.09</v>
      </c>
      <c r="W807" s="6">
        <f t="shared" si="113"/>
        <v>0</v>
      </c>
      <c r="X807">
        <v>2601.09</v>
      </c>
      <c r="Y807">
        <v>444</v>
      </c>
      <c r="Z807">
        <f t="shared" si="114"/>
        <v>444</v>
      </c>
      <c r="AA807" s="6">
        <f t="shared" si="115"/>
        <v>0</v>
      </c>
      <c r="AB807">
        <f t="shared" si="116"/>
        <v>0.14580849827098705</v>
      </c>
      <c r="AC807" t="s">
        <v>32</v>
      </c>
      <c r="AD807" t="s">
        <v>33</v>
      </c>
      <c r="AE807" t="s">
        <v>2828</v>
      </c>
    </row>
    <row r="808" spans="1:32">
      <c r="A808" t="s">
        <v>2490</v>
      </c>
      <c r="B808" s="3">
        <v>45546</v>
      </c>
      <c r="C808" t="str">
        <f t="shared" si="109"/>
        <v>September</v>
      </c>
      <c r="D808">
        <f t="shared" si="110"/>
        <v>2024</v>
      </c>
      <c r="E808" s="3">
        <v>45611</v>
      </c>
      <c r="F808">
        <f t="shared" si="108"/>
        <v>65</v>
      </c>
      <c r="G808" t="s">
        <v>2491</v>
      </c>
      <c r="H808" t="s">
        <v>47</v>
      </c>
      <c r="I808" t="s">
        <v>95</v>
      </c>
      <c r="J808" t="s">
        <v>25</v>
      </c>
      <c r="K808" t="s">
        <v>26</v>
      </c>
      <c r="L808" t="s">
        <v>27</v>
      </c>
      <c r="M808" t="s">
        <v>74</v>
      </c>
      <c r="N808" t="s">
        <v>80</v>
      </c>
      <c r="O808" t="s">
        <v>2492</v>
      </c>
      <c r="P808" t="s">
        <v>59</v>
      </c>
      <c r="Q808">
        <v>1</v>
      </c>
      <c r="R808">
        <v>3665.97</v>
      </c>
      <c r="S808" s="6">
        <v>0.2</v>
      </c>
      <c r="T808" s="6">
        <f t="shared" si="111"/>
        <v>0.2</v>
      </c>
      <c r="U808">
        <v>2932.78</v>
      </c>
      <c r="V808">
        <f t="shared" si="112"/>
        <v>2932.7759999999998</v>
      </c>
      <c r="W808" s="6">
        <f t="shared" si="113"/>
        <v>-4.0000000003601599E-3</v>
      </c>
      <c r="X808">
        <v>1900.35</v>
      </c>
      <c r="Y808">
        <v>1032.43</v>
      </c>
      <c r="Z808">
        <f t="shared" si="114"/>
        <v>1032.4259999999999</v>
      </c>
      <c r="AA808" s="6">
        <f t="shared" si="115"/>
        <v>-4.0000000001327862E-3</v>
      </c>
      <c r="AB808">
        <f t="shared" si="116"/>
        <v>0.35203029484692999</v>
      </c>
      <c r="AC808" t="s">
        <v>155</v>
      </c>
      <c r="AD808" t="s">
        <v>68</v>
      </c>
      <c r="AE808" t="s">
        <v>2827</v>
      </c>
      <c r="AF808" s="10" t="s">
        <v>2796</v>
      </c>
    </row>
    <row r="809" spans="1:32">
      <c r="A809" t="s">
        <v>2493</v>
      </c>
      <c r="B809" s="3">
        <v>45840</v>
      </c>
      <c r="C809" t="str">
        <f t="shared" si="109"/>
        <v>July</v>
      </c>
      <c r="D809">
        <f t="shared" si="110"/>
        <v>2025</v>
      </c>
      <c r="E809" s="3">
        <v>45871</v>
      </c>
      <c r="F809">
        <f t="shared" si="108"/>
        <v>31</v>
      </c>
      <c r="G809" t="s">
        <v>2494</v>
      </c>
      <c r="H809" t="s">
        <v>23</v>
      </c>
      <c r="I809" t="s">
        <v>37</v>
      </c>
      <c r="J809" t="s">
        <v>54</v>
      </c>
      <c r="K809" t="s">
        <v>55</v>
      </c>
      <c r="L809" t="s">
        <v>56</v>
      </c>
      <c r="M809" t="s">
        <v>28</v>
      </c>
      <c r="N809" t="s">
        <v>91</v>
      </c>
      <c r="O809" t="s">
        <v>2495</v>
      </c>
      <c r="P809" t="s">
        <v>59</v>
      </c>
      <c r="Q809">
        <v>2</v>
      </c>
      <c r="R809">
        <v>2432.98</v>
      </c>
      <c r="S809" s="6">
        <v>0.1</v>
      </c>
      <c r="T809" s="6">
        <f t="shared" si="111"/>
        <v>0.1</v>
      </c>
      <c r="U809">
        <v>4379.3599999999997</v>
      </c>
      <c r="V809">
        <f t="shared" si="112"/>
        <v>4379.3640000000005</v>
      </c>
      <c r="W809" s="6">
        <f t="shared" si="113"/>
        <v>4.0000000008149073E-3</v>
      </c>
      <c r="X809">
        <v>3723.93</v>
      </c>
      <c r="Y809">
        <v>655.43</v>
      </c>
      <c r="Z809">
        <f t="shared" si="114"/>
        <v>655.43400000000065</v>
      </c>
      <c r="AA809" s="6">
        <f t="shared" si="115"/>
        <v>4.0000000007012204E-3</v>
      </c>
      <c r="AB809">
        <f t="shared" si="116"/>
        <v>0.14966419781502532</v>
      </c>
      <c r="AC809" t="s">
        <v>32</v>
      </c>
      <c r="AD809" t="s">
        <v>33</v>
      </c>
      <c r="AE809" t="s">
        <v>2828</v>
      </c>
    </row>
    <row r="810" spans="1:32">
      <c r="A810" t="s">
        <v>2496</v>
      </c>
      <c r="B810" s="3">
        <v>45900</v>
      </c>
      <c r="C810" t="str">
        <f t="shared" si="109"/>
        <v>August</v>
      </c>
      <c r="D810">
        <f t="shared" si="110"/>
        <v>2025</v>
      </c>
      <c r="E810" s="3">
        <v>45897</v>
      </c>
      <c r="F810">
        <f t="shared" si="108"/>
        <v>-3</v>
      </c>
      <c r="G810" t="s">
        <v>2497</v>
      </c>
      <c r="H810" t="s">
        <v>128</v>
      </c>
      <c r="I810" t="s">
        <v>37</v>
      </c>
      <c r="J810" t="s">
        <v>54</v>
      </c>
      <c r="K810" t="s">
        <v>247</v>
      </c>
      <c r="L810" t="s">
        <v>248</v>
      </c>
      <c r="M810" t="s">
        <v>41</v>
      </c>
      <c r="N810" t="s">
        <v>57</v>
      </c>
      <c r="O810" t="s">
        <v>2498</v>
      </c>
      <c r="P810" t="s">
        <v>50</v>
      </c>
      <c r="Q810">
        <v>7</v>
      </c>
      <c r="R810">
        <v>977.28</v>
      </c>
      <c r="S810" s="6">
        <v>0.2</v>
      </c>
      <c r="T810" s="6">
        <f t="shared" si="111"/>
        <v>0.2</v>
      </c>
      <c r="U810">
        <v>5472.77</v>
      </c>
      <c r="V810">
        <f t="shared" si="112"/>
        <v>5472.768</v>
      </c>
      <c r="W810" s="6">
        <f t="shared" si="113"/>
        <v>-2.0000000004074536E-3</v>
      </c>
      <c r="X810">
        <v>4477.33</v>
      </c>
      <c r="Y810">
        <v>995.44</v>
      </c>
      <c r="Z810">
        <f t="shared" si="114"/>
        <v>995.4380000000001</v>
      </c>
      <c r="AA810" s="6">
        <f t="shared" si="115"/>
        <v>-1.9999999999527063E-3</v>
      </c>
      <c r="AB810">
        <f t="shared" si="116"/>
        <v>0.18188931085695575</v>
      </c>
      <c r="AC810" t="s">
        <v>32</v>
      </c>
      <c r="AD810" t="s">
        <v>33</v>
      </c>
      <c r="AE810" t="s">
        <v>2826</v>
      </c>
      <c r="AF810" s="10" t="s">
        <v>2790</v>
      </c>
    </row>
    <row r="811" spans="1:32">
      <c r="A811" t="s">
        <v>2499</v>
      </c>
      <c r="B811" s="3">
        <v>45833</v>
      </c>
      <c r="C811" t="str">
        <f t="shared" si="109"/>
        <v>June</v>
      </c>
      <c r="D811">
        <f t="shared" si="110"/>
        <v>2025</v>
      </c>
      <c r="E811" s="3">
        <v>45833</v>
      </c>
      <c r="F811">
        <f t="shared" si="108"/>
        <v>0</v>
      </c>
      <c r="G811" t="s">
        <v>2500</v>
      </c>
      <c r="H811" t="s">
        <v>53</v>
      </c>
      <c r="I811" t="s">
        <v>37</v>
      </c>
      <c r="J811" t="s">
        <v>2781</v>
      </c>
      <c r="K811" t="s">
        <v>122</v>
      </c>
      <c r="L811" t="s">
        <v>123</v>
      </c>
      <c r="M811" t="s">
        <v>28</v>
      </c>
      <c r="N811" t="s">
        <v>153</v>
      </c>
      <c r="O811" t="s">
        <v>2501</v>
      </c>
      <c r="P811" t="s">
        <v>31</v>
      </c>
      <c r="Q811">
        <v>6</v>
      </c>
      <c r="R811">
        <v>1366.13</v>
      </c>
      <c r="S811" s="6">
        <v>0.1</v>
      </c>
      <c r="T811" s="6">
        <f t="shared" si="111"/>
        <v>0.1</v>
      </c>
      <c r="U811">
        <v>7377.1</v>
      </c>
      <c r="V811">
        <f t="shared" si="112"/>
        <v>7377.1020000000008</v>
      </c>
      <c r="W811" s="6">
        <f t="shared" si="113"/>
        <v>2.0000000004074536E-3</v>
      </c>
      <c r="X811">
        <v>5085.21</v>
      </c>
      <c r="Y811">
        <v>2291.89</v>
      </c>
      <c r="Z811">
        <f t="shared" si="114"/>
        <v>2291.8920000000007</v>
      </c>
      <c r="AA811" s="6">
        <f t="shared" si="115"/>
        <v>2.000000000862201E-3</v>
      </c>
      <c r="AB811">
        <f t="shared" si="116"/>
        <v>0.31067646888981615</v>
      </c>
      <c r="AC811" t="s">
        <v>32</v>
      </c>
      <c r="AD811" t="s">
        <v>33</v>
      </c>
      <c r="AE811" t="s">
        <v>2828</v>
      </c>
    </row>
    <row r="812" spans="1:32">
      <c r="A812" t="s">
        <v>2502</v>
      </c>
      <c r="B812" s="3">
        <v>45385</v>
      </c>
      <c r="C812" t="str">
        <f t="shared" si="109"/>
        <v>April</v>
      </c>
      <c r="D812">
        <f t="shared" si="110"/>
        <v>2024</v>
      </c>
      <c r="E812" s="3">
        <v>45508</v>
      </c>
      <c r="F812">
        <f t="shared" si="108"/>
        <v>123</v>
      </c>
      <c r="G812" t="s">
        <v>1666</v>
      </c>
      <c r="H812" t="s">
        <v>264</v>
      </c>
      <c r="I812" t="s">
        <v>95</v>
      </c>
      <c r="J812" t="s">
        <v>63</v>
      </c>
      <c r="K812" t="s">
        <v>180</v>
      </c>
      <c r="L812" t="s">
        <v>181</v>
      </c>
      <c r="M812" t="s">
        <v>74</v>
      </c>
      <c r="N812" t="s">
        <v>80</v>
      </c>
      <c r="O812" t="s">
        <v>2503</v>
      </c>
      <c r="P812" t="s">
        <v>50</v>
      </c>
      <c r="Q812">
        <v>1</v>
      </c>
      <c r="R812">
        <v>3151.85</v>
      </c>
      <c r="S812" s="6">
        <v>0.25</v>
      </c>
      <c r="T812" s="6">
        <f t="shared" si="111"/>
        <v>0.25</v>
      </c>
      <c r="U812">
        <v>2363.89</v>
      </c>
      <c r="V812">
        <f t="shared" si="112"/>
        <v>2363.8874999999998</v>
      </c>
      <c r="W812" s="6">
        <f t="shared" si="113"/>
        <v>-2.5000000000545697E-3</v>
      </c>
      <c r="X812">
        <v>1471.51</v>
      </c>
      <c r="Y812">
        <v>892.38</v>
      </c>
      <c r="Z812">
        <f t="shared" si="114"/>
        <v>892.37749999999983</v>
      </c>
      <c r="AA812" s="6">
        <f t="shared" si="115"/>
        <v>-2.5000000001682565E-3</v>
      </c>
      <c r="AB812">
        <f t="shared" si="116"/>
        <v>0.37750421710000998</v>
      </c>
      <c r="AC812" t="s">
        <v>32</v>
      </c>
      <c r="AD812" t="s">
        <v>33</v>
      </c>
      <c r="AE812" t="s">
        <v>2828</v>
      </c>
    </row>
    <row r="813" spans="1:32">
      <c r="A813" t="s">
        <v>2504</v>
      </c>
      <c r="B813" s="3">
        <v>45638</v>
      </c>
      <c r="C813" t="str">
        <f t="shared" si="109"/>
        <v>December</v>
      </c>
      <c r="D813">
        <f t="shared" si="110"/>
        <v>2024</v>
      </c>
      <c r="E813" s="3">
        <v>45645</v>
      </c>
      <c r="F813">
        <f t="shared" si="108"/>
        <v>7</v>
      </c>
      <c r="G813" t="s">
        <v>2505</v>
      </c>
      <c r="H813" t="s">
        <v>141</v>
      </c>
      <c r="I813" t="s">
        <v>95</v>
      </c>
      <c r="J813" t="s">
        <v>25</v>
      </c>
      <c r="K813" t="s">
        <v>236</v>
      </c>
      <c r="L813" t="s">
        <v>237</v>
      </c>
      <c r="M813" t="s">
        <v>74</v>
      </c>
      <c r="N813" t="s">
        <v>75</v>
      </c>
      <c r="O813" t="s">
        <v>2506</v>
      </c>
      <c r="P813" t="s">
        <v>50</v>
      </c>
      <c r="Q813">
        <v>2</v>
      </c>
      <c r="R813">
        <v>1610.75</v>
      </c>
      <c r="S813" s="6">
        <v>0.2</v>
      </c>
      <c r="T813" s="6">
        <f t="shared" si="111"/>
        <v>0.2</v>
      </c>
      <c r="U813">
        <v>2577.1999999999998</v>
      </c>
      <c r="V813">
        <f t="shared" si="112"/>
        <v>2577.2000000000003</v>
      </c>
      <c r="W813" s="6">
        <f t="shared" si="113"/>
        <v>0</v>
      </c>
      <c r="X813">
        <v>1475.87</v>
      </c>
      <c r="Y813">
        <v>1101.33</v>
      </c>
      <c r="Z813">
        <f t="shared" si="114"/>
        <v>1101.3300000000004</v>
      </c>
      <c r="AA813" s="6">
        <f t="shared" si="115"/>
        <v>0</v>
      </c>
      <c r="AB813">
        <f t="shared" si="116"/>
        <v>0.42733586838429316</v>
      </c>
      <c r="AC813" t="s">
        <v>32</v>
      </c>
      <c r="AD813" t="s">
        <v>33</v>
      </c>
      <c r="AE813" t="s">
        <v>2828</v>
      </c>
    </row>
    <row r="814" spans="1:32">
      <c r="A814" t="s">
        <v>2507</v>
      </c>
      <c r="B814" s="3">
        <v>45458</v>
      </c>
      <c r="C814" t="str">
        <f t="shared" si="109"/>
        <v>June</v>
      </c>
      <c r="D814">
        <f t="shared" si="110"/>
        <v>2024</v>
      </c>
      <c r="E814" s="3">
        <v>45463</v>
      </c>
      <c r="F814">
        <f t="shared" si="108"/>
        <v>5</v>
      </c>
      <c r="G814" t="s">
        <v>2508</v>
      </c>
      <c r="H814" t="s">
        <v>132</v>
      </c>
      <c r="I814" t="s">
        <v>37</v>
      </c>
      <c r="J814" t="s">
        <v>38</v>
      </c>
      <c r="K814" t="s">
        <v>228</v>
      </c>
      <c r="L814" t="s">
        <v>229</v>
      </c>
      <c r="M814" t="s">
        <v>41</v>
      </c>
      <c r="N814" t="s">
        <v>42</v>
      </c>
      <c r="O814" t="s">
        <v>2509</v>
      </c>
      <c r="P814" t="s">
        <v>50</v>
      </c>
      <c r="Q814">
        <v>8</v>
      </c>
      <c r="R814">
        <v>2228.4699999999998</v>
      </c>
      <c r="S814" s="6">
        <v>0</v>
      </c>
      <c r="T814" s="6">
        <f t="shared" si="111"/>
        <v>0</v>
      </c>
      <c r="U814">
        <v>17827.759999999998</v>
      </c>
      <c r="V814">
        <f t="shared" si="112"/>
        <v>17827.759999999998</v>
      </c>
      <c r="W814" s="6">
        <f t="shared" si="113"/>
        <v>0</v>
      </c>
      <c r="X814">
        <v>14122.13</v>
      </c>
      <c r="Y814">
        <v>3705.63</v>
      </c>
      <c r="Z814">
        <f t="shared" si="114"/>
        <v>3705.6299999999992</v>
      </c>
      <c r="AA814" s="6">
        <f t="shared" si="115"/>
        <v>0</v>
      </c>
      <c r="AB814">
        <f t="shared" si="116"/>
        <v>0.20785729671029896</v>
      </c>
      <c r="AC814" t="s">
        <v>32</v>
      </c>
      <c r="AD814" t="s">
        <v>33</v>
      </c>
      <c r="AE814" t="s">
        <v>2828</v>
      </c>
    </row>
    <row r="815" spans="1:32">
      <c r="A815" t="s">
        <v>2510</v>
      </c>
      <c r="B815" s="3">
        <v>45753</v>
      </c>
      <c r="C815" t="str">
        <f t="shared" si="109"/>
        <v>April</v>
      </c>
      <c r="D815">
        <f t="shared" si="110"/>
        <v>2025</v>
      </c>
      <c r="E815" s="3">
        <v>45934</v>
      </c>
      <c r="F815">
        <f t="shared" si="108"/>
        <v>181</v>
      </c>
      <c r="G815" t="s">
        <v>2511</v>
      </c>
      <c r="H815" t="s">
        <v>141</v>
      </c>
      <c r="I815" t="s">
        <v>24</v>
      </c>
      <c r="J815" t="s">
        <v>38</v>
      </c>
      <c r="K815" t="s">
        <v>39</v>
      </c>
      <c r="L815" t="s">
        <v>40</v>
      </c>
      <c r="M815" t="s">
        <v>41</v>
      </c>
      <c r="N815" t="s">
        <v>158</v>
      </c>
      <c r="O815" t="s">
        <v>1121</v>
      </c>
      <c r="P815" t="s">
        <v>59</v>
      </c>
      <c r="Q815">
        <v>2</v>
      </c>
      <c r="R815">
        <v>1337.67</v>
      </c>
      <c r="S815" s="6">
        <v>0</v>
      </c>
      <c r="T815" s="6">
        <f t="shared" si="111"/>
        <v>0</v>
      </c>
      <c r="U815">
        <v>2675.34</v>
      </c>
      <c r="V815">
        <f t="shared" si="112"/>
        <v>2675.34</v>
      </c>
      <c r="W815" s="6">
        <f t="shared" si="113"/>
        <v>0</v>
      </c>
      <c r="X815">
        <v>1595.87</v>
      </c>
      <c r="Y815">
        <v>1079.47</v>
      </c>
      <c r="Z815">
        <f t="shared" si="114"/>
        <v>1079.4700000000003</v>
      </c>
      <c r="AA815" s="6">
        <f t="shared" si="115"/>
        <v>0</v>
      </c>
      <c r="AB815">
        <f t="shared" si="116"/>
        <v>0.40348890234512258</v>
      </c>
      <c r="AC815" t="s">
        <v>32</v>
      </c>
      <c r="AD815" t="s">
        <v>33</v>
      </c>
      <c r="AE815" t="s">
        <v>2828</v>
      </c>
    </row>
    <row r="816" spans="1:32">
      <c r="A816" t="s">
        <v>2512</v>
      </c>
      <c r="B816" s="3">
        <v>45816</v>
      </c>
      <c r="C816" t="str">
        <f t="shared" si="109"/>
        <v>June</v>
      </c>
      <c r="D816">
        <f t="shared" si="110"/>
        <v>2025</v>
      </c>
      <c r="E816" s="3">
        <v>45969</v>
      </c>
      <c r="F816">
        <f t="shared" si="108"/>
        <v>153</v>
      </c>
      <c r="G816" t="s">
        <v>2513</v>
      </c>
      <c r="H816" t="s">
        <v>53</v>
      </c>
      <c r="I816" t="s">
        <v>24</v>
      </c>
      <c r="J816" t="s">
        <v>63</v>
      </c>
      <c r="K816" t="s">
        <v>72</v>
      </c>
      <c r="L816" t="s">
        <v>73</v>
      </c>
      <c r="M816" t="s">
        <v>28</v>
      </c>
      <c r="N816" t="s">
        <v>91</v>
      </c>
      <c r="O816" t="s">
        <v>2514</v>
      </c>
      <c r="P816" t="s">
        <v>50</v>
      </c>
      <c r="Q816">
        <v>2</v>
      </c>
      <c r="R816">
        <v>2375.94</v>
      </c>
      <c r="S816" s="6">
        <v>0.25</v>
      </c>
      <c r="T816" s="6">
        <f t="shared" si="111"/>
        <v>0.25</v>
      </c>
      <c r="U816">
        <v>3563.91</v>
      </c>
      <c r="V816">
        <f t="shared" si="112"/>
        <v>3563.91</v>
      </c>
      <c r="W816" s="6">
        <f t="shared" si="113"/>
        <v>0</v>
      </c>
      <c r="X816">
        <v>2639.7</v>
      </c>
      <c r="Y816">
        <v>924.21</v>
      </c>
      <c r="Z816">
        <f t="shared" si="114"/>
        <v>924.21</v>
      </c>
      <c r="AA816" s="6">
        <f t="shared" si="115"/>
        <v>0</v>
      </c>
      <c r="AB816">
        <f t="shared" si="116"/>
        <v>0.25932473042248544</v>
      </c>
      <c r="AC816" t="s">
        <v>32</v>
      </c>
      <c r="AD816" t="s">
        <v>33</v>
      </c>
      <c r="AE816" t="s">
        <v>2828</v>
      </c>
    </row>
    <row r="817" spans="1:32">
      <c r="A817" t="s">
        <v>2515</v>
      </c>
      <c r="B817" s="3">
        <v>45383</v>
      </c>
      <c r="C817" t="str">
        <f t="shared" si="109"/>
        <v>April</v>
      </c>
      <c r="D817">
        <f t="shared" si="110"/>
        <v>2024</v>
      </c>
      <c r="E817" s="3">
        <v>45508</v>
      </c>
      <c r="F817">
        <f t="shared" si="108"/>
        <v>125</v>
      </c>
      <c r="G817" t="s">
        <v>2516</v>
      </c>
      <c r="H817" t="s">
        <v>162</v>
      </c>
      <c r="I817" t="s">
        <v>24</v>
      </c>
      <c r="J817" t="s">
        <v>38</v>
      </c>
      <c r="K817" t="s">
        <v>39</v>
      </c>
      <c r="L817" t="s">
        <v>40</v>
      </c>
      <c r="M817" t="s">
        <v>74</v>
      </c>
      <c r="N817" t="s">
        <v>274</v>
      </c>
      <c r="O817" t="s">
        <v>2517</v>
      </c>
      <c r="P817" t="s">
        <v>59</v>
      </c>
      <c r="Q817">
        <v>7</v>
      </c>
      <c r="R817">
        <v>715.81</v>
      </c>
      <c r="S817" s="6">
        <v>0.15</v>
      </c>
      <c r="T817" s="6">
        <f t="shared" si="111"/>
        <v>0.15</v>
      </c>
      <c r="U817">
        <v>4259.07</v>
      </c>
      <c r="V817">
        <f t="shared" si="112"/>
        <v>4259.0694999999996</v>
      </c>
      <c r="W817" s="6">
        <f t="shared" si="113"/>
        <v>-5.0000000010186341E-4</v>
      </c>
      <c r="X817">
        <v>3130.32</v>
      </c>
      <c r="Y817">
        <v>1128.75</v>
      </c>
      <c r="Z817">
        <f t="shared" si="114"/>
        <v>1128.7494999999994</v>
      </c>
      <c r="AA817" s="6">
        <f t="shared" si="115"/>
        <v>-5.0000000055661076E-4</v>
      </c>
      <c r="AB817">
        <f t="shared" si="116"/>
        <v>0.26502255950507486</v>
      </c>
      <c r="AC817" t="s">
        <v>111</v>
      </c>
      <c r="AD817" t="s">
        <v>68</v>
      </c>
      <c r="AE817" t="s">
        <v>2827</v>
      </c>
      <c r="AF817" t="s">
        <v>2804</v>
      </c>
    </row>
    <row r="818" spans="1:32">
      <c r="A818" t="s">
        <v>2518</v>
      </c>
      <c r="B818" s="3">
        <v>45623</v>
      </c>
      <c r="C818" t="str">
        <f t="shared" si="109"/>
        <v>November</v>
      </c>
      <c r="D818">
        <f t="shared" si="110"/>
        <v>2024</v>
      </c>
      <c r="E818" s="3">
        <v>45626</v>
      </c>
      <c r="F818">
        <f t="shared" si="108"/>
        <v>3</v>
      </c>
      <c r="G818" t="s">
        <v>2519</v>
      </c>
      <c r="H818" t="s">
        <v>118</v>
      </c>
      <c r="I818" t="s">
        <v>37</v>
      </c>
      <c r="J818" t="s">
        <v>38</v>
      </c>
      <c r="K818" t="s">
        <v>228</v>
      </c>
      <c r="L818" t="s">
        <v>229</v>
      </c>
      <c r="M818" t="s">
        <v>41</v>
      </c>
      <c r="N818" t="s">
        <v>57</v>
      </c>
      <c r="O818" t="s">
        <v>2520</v>
      </c>
      <c r="P818" t="s">
        <v>50</v>
      </c>
      <c r="Q818">
        <v>1</v>
      </c>
      <c r="R818">
        <v>874.3</v>
      </c>
      <c r="S818" s="6">
        <v>0.1</v>
      </c>
      <c r="T818" s="6">
        <f t="shared" si="111"/>
        <v>0.1</v>
      </c>
      <c r="U818">
        <v>786.87</v>
      </c>
      <c r="V818">
        <f t="shared" si="112"/>
        <v>786.87</v>
      </c>
      <c r="W818" s="6">
        <f t="shared" si="113"/>
        <v>0</v>
      </c>
      <c r="X818">
        <v>498.5</v>
      </c>
      <c r="Y818">
        <v>288.37</v>
      </c>
      <c r="Z818">
        <f t="shared" si="114"/>
        <v>288.37</v>
      </c>
      <c r="AA818" s="6">
        <f t="shared" si="115"/>
        <v>0</v>
      </c>
      <c r="AB818">
        <f t="shared" si="116"/>
        <v>0.36647730883119195</v>
      </c>
      <c r="AC818" t="s">
        <v>32</v>
      </c>
      <c r="AD818" t="s">
        <v>33</v>
      </c>
      <c r="AE818" t="s">
        <v>2828</v>
      </c>
    </row>
    <row r="819" spans="1:32">
      <c r="A819" t="s">
        <v>2521</v>
      </c>
      <c r="B819" s="3">
        <v>45781</v>
      </c>
      <c r="C819" t="str">
        <f t="shared" si="109"/>
        <v>May</v>
      </c>
      <c r="D819">
        <f t="shared" si="110"/>
        <v>2025</v>
      </c>
      <c r="E819" s="3">
        <v>45752</v>
      </c>
      <c r="F819">
        <f t="shared" si="108"/>
        <v>-29</v>
      </c>
      <c r="G819" t="s">
        <v>2522</v>
      </c>
      <c r="H819" t="s">
        <v>132</v>
      </c>
      <c r="I819" t="s">
        <v>24</v>
      </c>
      <c r="J819" t="s">
        <v>38</v>
      </c>
      <c r="K819" t="s">
        <v>145</v>
      </c>
      <c r="L819" t="s">
        <v>146</v>
      </c>
      <c r="M819" t="s">
        <v>28</v>
      </c>
      <c r="N819" t="s">
        <v>153</v>
      </c>
      <c r="O819" t="s">
        <v>2523</v>
      </c>
      <c r="P819" t="s">
        <v>59</v>
      </c>
      <c r="Q819">
        <v>6</v>
      </c>
      <c r="R819">
        <v>1829.69</v>
      </c>
      <c r="S819" s="6">
        <v>0.25</v>
      </c>
      <c r="T819" s="6">
        <f t="shared" si="111"/>
        <v>0.25</v>
      </c>
      <c r="U819">
        <v>8233.6</v>
      </c>
      <c r="V819">
        <f t="shared" si="112"/>
        <v>8233.6049999999996</v>
      </c>
      <c r="W819" s="6">
        <f t="shared" si="113"/>
        <v>4.9999999991996447E-3</v>
      </c>
      <c r="X819">
        <v>4713.79</v>
      </c>
      <c r="Y819">
        <v>3519.81</v>
      </c>
      <c r="Z819">
        <f t="shared" si="114"/>
        <v>3519.8149999999996</v>
      </c>
      <c r="AA819" s="6">
        <f t="shared" si="115"/>
        <v>4.999999999654392E-3</v>
      </c>
      <c r="AB819">
        <f t="shared" si="116"/>
        <v>0.42749378917254349</v>
      </c>
      <c r="AC819" t="s">
        <v>32</v>
      </c>
      <c r="AD819" t="s">
        <v>33</v>
      </c>
      <c r="AE819" t="s">
        <v>2826</v>
      </c>
      <c r="AF819" s="10" t="s">
        <v>2790</v>
      </c>
    </row>
    <row r="820" spans="1:32">
      <c r="A820" t="s">
        <v>2524</v>
      </c>
      <c r="B820" s="3">
        <v>45564</v>
      </c>
      <c r="C820" t="str">
        <f t="shared" si="109"/>
        <v>September</v>
      </c>
      <c r="D820">
        <f t="shared" si="110"/>
        <v>2024</v>
      </c>
      <c r="E820" s="3">
        <v>45422</v>
      </c>
      <c r="F820">
        <f t="shared" si="108"/>
        <v>-142</v>
      </c>
      <c r="G820" t="s">
        <v>2525</v>
      </c>
      <c r="H820" t="s">
        <v>114</v>
      </c>
      <c r="I820" t="s">
        <v>37</v>
      </c>
      <c r="J820" t="s">
        <v>63</v>
      </c>
      <c r="K820" t="s">
        <v>64</v>
      </c>
      <c r="L820" t="s">
        <v>65</v>
      </c>
      <c r="M820" t="s">
        <v>28</v>
      </c>
      <c r="N820" t="s">
        <v>91</v>
      </c>
      <c r="O820" t="s">
        <v>2526</v>
      </c>
      <c r="P820" t="s">
        <v>50</v>
      </c>
      <c r="Q820">
        <v>8</v>
      </c>
      <c r="R820">
        <v>1981.04</v>
      </c>
      <c r="S820" s="6">
        <v>-0.14000000000000001</v>
      </c>
      <c r="T820" s="6">
        <f t="shared" si="111"/>
        <v>0.14000000000000001</v>
      </c>
      <c r="U820">
        <v>12678.66</v>
      </c>
      <c r="V820">
        <f t="shared" si="112"/>
        <v>13629.555199999999</v>
      </c>
      <c r="W820" s="6">
        <f t="shared" si="113"/>
        <v>950.89519999999902</v>
      </c>
      <c r="X820">
        <v>10088.65</v>
      </c>
      <c r="Y820">
        <v>2590.0100000000002</v>
      </c>
      <c r="Z820">
        <f t="shared" si="114"/>
        <v>3540.9051999999992</v>
      </c>
      <c r="AA820" s="6">
        <f t="shared" si="115"/>
        <v>950.89519999999902</v>
      </c>
      <c r="AB820">
        <f t="shared" si="116"/>
        <v>0.25979609371258128</v>
      </c>
      <c r="AC820" t="s">
        <v>32</v>
      </c>
      <c r="AD820" t="s">
        <v>33</v>
      </c>
      <c r="AE820" t="s">
        <v>2826</v>
      </c>
      <c r="AF820" s="10" t="s">
        <v>2792</v>
      </c>
    </row>
    <row r="821" spans="1:32">
      <c r="A821" t="s">
        <v>2527</v>
      </c>
      <c r="B821" s="3">
        <v>45504</v>
      </c>
      <c r="C821" t="str">
        <f t="shared" si="109"/>
        <v>July</v>
      </c>
      <c r="D821">
        <f t="shared" si="110"/>
        <v>2024</v>
      </c>
      <c r="E821" s="3">
        <v>45504</v>
      </c>
      <c r="F821">
        <f t="shared" si="108"/>
        <v>0</v>
      </c>
      <c r="G821" t="s">
        <v>2528</v>
      </c>
      <c r="H821" t="s">
        <v>23</v>
      </c>
      <c r="I821" t="s">
        <v>95</v>
      </c>
      <c r="J821" t="s">
        <v>54</v>
      </c>
      <c r="K821" t="s">
        <v>185</v>
      </c>
      <c r="L821" t="s">
        <v>186</v>
      </c>
      <c r="M821" t="s">
        <v>74</v>
      </c>
      <c r="N821" t="s">
        <v>274</v>
      </c>
      <c r="O821" t="s">
        <v>2529</v>
      </c>
      <c r="P821" t="s">
        <v>59</v>
      </c>
      <c r="Q821">
        <v>8</v>
      </c>
      <c r="R821">
        <v>4246.01</v>
      </c>
      <c r="S821" s="6">
        <v>0</v>
      </c>
      <c r="T821" s="6">
        <f t="shared" si="111"/>
        <v>0</v>
      </c>
      <c r="U821">
        <v>33968.080000000002</v>
      </c>
      <c r="V821">
        <f t="shared" si="112"/>
        <v>33968.080000000002</v>
      </c>
      <c r="W821" s="6">
        <f t="shared" si="113"/>
        <v>0</v>
      </c>
      <c r="X821">
        <v>26902.44</v>
      </c>
      <c r="Y821">
        <v>7065.64</v>
      </c>
      <c r="Z821">
        <f t="shared" si="114"/>
        <v>7065.6400000000031</v>
      </c>
      <c r="AA821" s="6">
        <f t="shared" si="115"/>
        <v>0</v>
      </c>
      <c r="AB821">
        <f t="shared" si="116"/>
        <v>0.20800822419165294</v>
      </c>
      <c r="AC821" t="s">
        <v>155</v>
      </c>
      <c r="AD821" t="s">
        <v>68</v>
      </c>
      <c r="AE821" t="s">
        <v>2827</v>
      </c>
      <c r="AF821" s="10" t="s">
        <v>2796</v>
      </c>
    </row>
    <row r="822" spans="1:32">
      <c r="A822" t="s">
        <v>2530</v>
      </c>
      <c r="B822" s="3">
        <v>45810</v>
      </c>
      <c r="C822" t="str">
        <f t="shared" si="109"/>
        <v>June</v>
      </c>
      <c r="D822">
        <f t="shared" si="110"/>
        <v>2025</v>
      </c>
      <c r="E822" s="3">
        <v>45932</v>
      </c>
      <c r="F822">
        <f t="shared" si="108"/>
        <v>122</v>
      </c>
      <c r="G822" t="s">
        <v>2531</v>
      </c>
      <c r="H822" t="s">
        <v>62</v>
      </c>
      <c r="I822" t="s">
        <v>95</v>
      </c>
      <c r="J822" t="s">
        <v>25</v>
      </c>
      <c r="K822" t="s">
        <v>136</v>
      </c>
      <c r="L822" t="s">
        <v>137</v>
      </c>
      <c r="M822" t="s">
        <v>41</v>
      </c>
      <c r="N822" t="s">
        <v>158</v>
      </c>
      <c r="O822" t="s">
        <v>2532</v>
      </c>
      <c r="P822" t="s">
        <v>59</v>
      </c>
      <c r="Q822">
        <v>2</v>
      </c>
      <c r="R822">
        <v>319.57</v>
      </c>
      <c r="S822" s="6">
        <v>0.2</v>
      </c>
      <c r="T822" s="6">
        <f t="shared" si="111"/>
        <v>0.2</v>
      </c>
      <c r="U822">
        <v>511.31</v>
      </c>
      <c r="V822">
        <f t="shared" si="112"/>
        <v>511.31200000000001</v>
      </c>
      <c r="W822" s="6">
        <f t="shared" si="113"/>
        <v>2.0000000000095497E-3</v>
      </c>
      <c r="X822">
        <v>436.43</v>
      </c>
      <c r="Y822">
        <v>74.88</v>
      </c>
      <c r="Z822">
        <f t="shared" si="114"/>
        <v>74.882000000000005</v>
      </c>
      <c r="AA822" s="6">
        <f t="shared" si="115"/>
        <v>2.0000000000095497E-3</v>
      </c>
      <c r="AB822">
        <f t="shared" si="116"/>
        <v>0.14645069937728825</v>
      </c>
      <c r="AC822" t="s">
        <v>32</v>
      </c>
      <c r="AD822" t="s">
        <v>33</v>
      </c>
      <c r="AE822" t="s">
        <v>2828</v>
      </c>
    </row>
    <row r="823" spans="1:32">
      <c r="A823" t="s">
        <v>2533</v>
      </c>
      <c r="B823" s="3">
        <v>45358</v>
      </c>
      <c r="C823" t="str">
        <f t="shared" si="109"/>
        <v>March</v>
      </c>
      <c r="D823">
        <f t="shared" si="110"/>
        <v>2024</v>
      </c>
      <c r="E823" s="3">
        <v>45450</v>
      </c>
      <c r="F823">
        <f t="shared" si="108"/>
        <v>92</v>
      </c>
      <c r="G823" t="s">
        <v>2534</v>
      </c>
      <c r="H823" t="s">
        <v>128</v>
      </c>
      <c r="I823" t="s">
        <v>90</v>
      </c>
      <c r="J823" t="s">
        <v>54</v>
      </c>
      <c r="K823" t="s">
        <v>175</v>
      </c>
      <c r="L823" t="s">
        <v>176</v>
      </c>
      <c r="M823" t="s">
        <v>74</v>
      </c>
      <c r="N823" t="s">
        <v>75</v>
      </c>
      <c r="O823" t="s">
        <v>2535</v>
      </c>
      <c r="P823" t="s">
        <v>50</v>
      </c>
      <c r="Q823">
        <v>7</v>
      </c>
      <c r="R823">
        <v>1942.49</v>
      </c>
      <c r="S823" s="6">
        <v>0.2</v>
      </c>
      <c r="T823" s="6">
        <f t="shared" si="111"/>
        <v>0.2</v>
      </c>
      <c r="U823">
        <v>10877.94</v>
      </c>
      <c r="V823">
        <f t="shared" si="112"/>
        <v>10877.944000000001</v>
      </c>
      <c r="W823" s="6">
        <f t="shared" si="113"/>
        <v>4.0000000008149073E-3</v>
      </c>
      <c r="X823">
        <v>9110.14</v>
      </c>
      <c r="Y823">
        <v>1767.8</v>
      </c>
      <c r="Z823">
        <f t="shared" si="114"/>
        <v>1767.8040000000019</v>
      </c>
      <c r="AA823" s="6">
        <f t="shared" si="115"/>
        <v>4.0000000019517756E-3</v>
      </c>
      <c r="AB823">
        <f t="shared" si="116"/>
        <v>0.16251269541376584</v>
      </c>
      <c r="AC823" t="s">
        <v>32</v>
      </c>
      <c r="AD823" t="s">
        <v>33</v>
      </c>
      <c r="AE823" t="s">
        <v>2828</v>
      </c>
    </row>
    <row r="824" spans="1:32">
      <c r="A824" t="s">
        <v>2536</v>
      </c>
      <c r="B824" s="3">
        <v>45577</v>
      </c>
      <c r="C824" t="str">
        <f t="shared" si="109"/>
        <v>October</v>
      </c>
      <c r="D824">
        <f t="shared" si="110"/>
        <v>2024</v>
      </c>
      <c r="E824" s="3">
        <v>45514</v>
      </c>
      <c r="F824">
        <f t="shared" si="108"/>
        <v>-63</v>
      </c>
      <c r="G824" t="s">
        <v>2537</v>
      </c>
      <c r="H824" t="s">
        <v>36</v>
      </c>
      <c r="I824" t="s">
        <v>90</v>
      </c>
      <c r="J824" t="s">
        <v>38</v>
      </c>
      <c r="K824" t="s">
        <v>166</v>
      </c>
      <c r="L824" t="s">
        <v>167</v>
      </c>
      <c r="M824" t="s">
        <v>41</v>
      </c>
      <c r="N824" t="s">
        <v>57</v>
      </c>
      <c r="O824" t="s">
        <v>2538</v>
      </c>
      <c r="P824" t="s">
        <v>31</v>
      </c>
      <c r="Q824">
        <v>4</v>
      </c>
      <c r="R824">
        <v>3202.04</v>
      </c>
      <c r="S824" s="6">
        <v>0.2</v>
      </c>
      <c r="T824" s="6">
        <f t="shared" si="111"/>
        <v>0.2</v>
      </c>
      <c r="U824">
        <v>10246.530000000001</v>
      </c>
      <c r="V824">
        <f t="shared" si="112"/>
        <v>10246.528</v>
      </c>
      <c r="W824" s="6">
        <f t="shared" si="113"/>
        <v>-2.0000000004074536E-3</v>
      </c>
      <c r="X824">
        <v>8634.42</v>
      </c>
      <c r="Y824">
        <v>1612.11</v>
      </c>
      <c r="Z824">
        <f t="shared" si="114"/>
        <v>1612.1080000000002</v>
      </c>
      <c r="AA824" s="6">
        <f t="shared" si="115"/>
        <v>-1.9999999997253326E-3</v>
      </c>
      <c r="AB824">
        <f t="shared" si="116"/>
        <v>0.15733212264681268</v>
      </c>
      <c r="AC824" t="s">
        <v>111</v>
      </c>
      <c r="AD824" t="s">
        <v>103</v>
      </c>
      <c r="AE824" t="s">
        <v>2826</v>
      </c>
      <c r="AF824" s="10" t="s">
        <v>2815</v>
      </c>
    </row>
    <row r="825" spans="1:32">
      <c r="A825" t="s">
        <v>2539</v>
      </c>
      <c r="B825" s="3">
        <v>45809</v>
      </c>
      <c r="C825" t="str">
        <f t="shared" si="109"/>
        <v>June</v>
      </c>
      <c r="D825">
        <f t="shared" si="110"/>
        <v>2025</v>
      </c>
      <c r="E825" s="3">
        <v>45992</v>
      </c>
      <c r="F825">
        <f t="shared" si="108"/>
        <v>183</v>
      </c>
      <c r="G825" t="s">
        <v>2540</v>
      </c>
      <c r="H825" t="s">
        <v>36</v>
      </c>
      <c r="I825" t="s">
        <v>95</v>
      </c>
      <c r="J825" t="s">
        <v>63</v>
      </c>
      <c r="K825" t="s">
        <v>190</v>
      </c>
      <c r="L825" t="s">
        <v>191</v>
      </c>
      <c r="M825" t="s">
        <v>28</v>
      </c>
      <c r="N825" t="s">
        <v>29</v>
      </c>
      <c r="O825" t="s">
        <v>2541</v>
      </c>
      <c r="P825" t="s">
        <v>44</v>
      </c>
      <c r="Q825">
        <v>3</v>
      </c>
      <c r="R825">
        <v>668.33</v>
      </c>
      <c r="S825" s="6">
        <v>0.15</v>
      </c>
      <c r="T825" s="6">
        <f t="shared" si="111"/>
        <v>0.15</v>
      </c>
      <c r="U825">
        <v>1704.24</v>
      </c>
      <c r="V825">
        <f t="shared" si="112"/>
        <v>1704.2415000000001</v>
      </c>
      <c r="W825" s="6">
        <f t="shared" si="113"/>
        <v>1.5000000000782165E-3</v>
      </c>
      <c r="X825">
        <v>957.55</v>
      </c>
      <c r="Y825">
        <v>746.69</v>
      </c>
      <c r="Z825">
        <f t="shared" si="114"/>
        <v>746.69150000000013</v>
      </c>
      <c r="AA825" s="6">
        <f t="shared" si="115"/>
        <v>1.5000000000782165E-3</v>
      </c>
      <c r="AB825">
        <f t="shared" si="116"/>
        <v>0.43813714194848563</v>
      </c>
      <c r="AC825" t="s">
        <v>32</v>
      </c>
      <c r="AD825" t="s">
        <v>33</v>
      </c>
      <c r="AE825" t="s">
        <v>2828</v>
      </c>
    </row>
    <row r="826" spans="1:32">
      <c r="A826" t="s">
        <v>2542</v>
      </c>
      <c r="B826" s="3">
        <v>45737</v>
      </c>
      <c r="C826" t="str">
        <f t="shared" si="109"/>
        <v>March</v>
      </c>
      <c r="D826">
        <f t="shared" si="110"/>
        <v>2025</v>
      </c>
      <c r="E826" s="3">
        <v>45738</v>
      </c>
      <c r="F826">
        <f t="shared" si="108"/>
        <v>1</v>
      </c>
      <c r="G826" t="s">
        <v>2543</v>
      </c>
      <c r="H826" t="s">
        <v>114</v>
      </c>
      <c r="I826" t="s">
        <v>24</v>
      </c>
      <c r="J826" t="s">
        <v>63</v>
      </c>
      <c r="K826" t="s">
        <v>190</v>
      </c>
      <c r="L826" t="s">
        <v>191</v>
      </c>
      <c r="M826" t="s">
        <v>28</v>
      </c>
      <c r="N826" t="s">
        <v>29</v>
      </c>
      <c r="O826" t="s">
        <v>2544</v>
      </c>
      <c r="P826" t="s">
        <v>50</v>
      </c>
      <c r="Q826">
        <v>8</v>
      </c>
      <c r="R826">
        <v>4436.74</v>
      </c>
      <c r="S826" s="6">
        <v>0.05</v>
      </c>
      <c r="T826" s="6">
        <f t="shared" si="111"/>
        <v>0.05</v>
      </c>
      <c r="U826">
        <v>33719.22</v>
      </c>
      <c r="V826">
        <f t="shared" si="112"/>
        <v>33719.223999999995</v>
      </c>
      <c r="W826" s="6">
        <f t="shared" si="113"/>
        <v>3.9999999935389496E-3</v>
      </c>
      <c r="X826">
        <v>28924.43</v>
      </c>
      <c r="Y826">
        <v>4794.79</v>
      </c>
      <c r="Z826">
        <f t="shared" si="114"/>
        <v>4794.7939999999944</v>
      </c>
      <c r="AA826" s="6">
        <f t="shared" si="115"/>
        <v>3.9999999944484443E-3</v>
      </c>
      <c r="AB826">
        <f t="shared" si="116"/>
        <v>0.14219763776295669</v>
      </c>
      <c r="AC826" t="s">
        <v>32</v>
      </c>
      <c r="AD826" t="s">
        <v>33</v>
      </c>
      <c r="AE826" t="s">
        <v>2828</v>
      </c>
    </row>
    <row r="827" spans="1:32">
      <c r="A827" t="s">
        <v>2545</v>
      </c>
      <c r="B827" s="3">
        <v>45763</v>
      </c>
      <c r="C827" t="str">
        <f t="shared" si="109"/>
        <v>April</v>
      </c>
      <c r="D827">
        <f t="shared" si="110"/>
        <v>2025</v>
      </c>
      <c r="E827" s="3">
        <v>45764</v>
      </c>
      <c r="F827">
        <f t="shared" si="108"/>
        <v>1</v>
      </c>
      <c r="G827" t="s">
        <v>2546</v>
      </c>
      <c r="H827" t="s">
        <v>71</v>
      </c>
      <c r="I827" t="s">
        <v>37</v>
      </c>
      <c r="J827" t="s">
        <v>25</v>
      </c>
      <c r="K827" t="s">
        <v>136</v>
      </c>
      <c r="L827" t="s">
        <v>137</v>
      </c>
      <c r="M827" t="s">
        <v>74</v>
      </c>
      <c r="N827" t="s">
        <v>274</v>
      </c>
      <c r="O827" t="s">
        <v>2547</v>
      </c>
      <c r="P827" t="s">
        <v>50</v>
      </c>
      <c r="Q827">
        <v>1</v>
      </c>
      <c r="R827">
        <v>2720.17</v>
      </c>
      <c r="S827" s="6">
        <v>0</v>
      </c>
      <c r="T827" s="6">
        <f t="shared" si="111"/>
        <v>0</v>
      </c>
      <c r="U827">
        <v>2720.17</v>
      </c>
      <c r="V827">
        <f t="shared" si="112"/>
        <v>2720.17</v>
      </c>
      <c r="W827" s="6">
        <f t="shared" si="113"/>
        <v>0</v>
      </c>
      <c r="X827">
        <v>1834.23</v>
      </c>
      <c r="Y827">
        <v>885.94</v>
      </c>
      <c r="Z827">
        <f t="shared" si="114"/>
        <v>885.94</v>
      </c>
      <c r="AA827" s="6">
        <f t="shared" si="115"/>
        <v>0</v>
      </c>
      <c r="AB827">
        <f t="shared" si="116"/>
        <v>0.3256928794891496</v>
      </c>
      <c r="AC827" t="s">
        <v>32</v>
      </c>
      <c r="AD827" t="s">
        <v>33</v>
      </c>
      <c r="AE827" t="s">
        <v>2828</v>
      </c>
    </row>
    <row r="828" spans="1:32">
      <c r="A828" t="s">
        <v>2548</v>
      </c>
      <c r="B828" s="3">
        <v>45938</v>
      </c>
      <c r="C828" t="str">
        <f t="shared" si="109"/>
        <v>October</v>
      </c>
      <c r="D828">
        <f t="shared" si="110"/>
        <v>2025</v>
      </c>
      <c r="E828" s="3">
        <v>45883</v>
      </c>
      <c r="F828">
        <f t="shared" si="108"/>
        <v>-55</v>
      </c>
      <c r="G828" t="s">
        <v>2549</v>
      </c>
      <c r="H828" t="s">
        <v>89</v>
      </c>
      <c r="I828" t="s">
        <v>24</v>
      </c>
      <c r="J828" t="s">
        <v>63</v>
      </c>
      <c r="K828" t="s">
        <v>26</v>
      </c>
      <c r="L828" t="s">
        <v>109</v>
      </c>
      <c r="M828" t="s">
        <v>74</v>
      </c>
      <c r="N828" t="s">
        <v>75</v>
      </c>
      <c r="O828" t="s">
        <v>2550</v>
      </c>
      <c r="P828" t="s">
        <v>59</v>
      </c>
      <c r="Q828">
        <v>5</v>
      </c>
      <c r="R828">
        <v>2190.14</v>
      </c>
      <c r="S828" s="6">
        <v>0.25</v>
      </c>
      <c r="T828" s="6">
        <f t="shared" si="111"/>
        <v>0.25</v>
      </c>
      <c r="U828">
        <v>8213.02</v>
      </c>
      <c r="V828">
        <f t="shared" si="112"/>
        <v>8213.0249999999996</v>
      </c>
      <c r="W828" s="6">
        <f t="shared" si="113"/>
        <v>4.9999999991996447E-3</v>
      </c>
      <c r="X828">
        <v>5569.3</v>
      </c>
      <c r="Y828">
        <v>2643.72</v>
      </c>
      <c r="Z828">
        <f t="shared" si="114"/>
        <v>2643.7249999999995</v>
      </c>
      <c r="AA828" s="6">
        <f t="shared" si="115"/>
        <v>4.999999999654392E-3</v>
      </c>
      <c r="AB828">
        <f t="shared" si="116"/>
        <v>0.32189418636860345</v>
      </c>
      <c r="AC828" t="s">
        <v>32</v>
      </c>
      <c r="AD828" t="s">
        <v>33</v>
      </c>
      <c r="AE828" t="s">
        <v>2826</v>
      </c>
      <c r="AF828" s="10" t="s">
        <v>2790</v>
      </c>
    </row>
    <row r="829" spans="1:32">
      <c r="A829" t="s">
        <v>2551</v>
      </c>
      <c r="B829" s="3">
        <v>45620</v>
      </c>
      <c r="C829" t="str">
        <f t="shared" si="109"/>
        <v>November</v>
      </c>
      <c r="D829">
        <f t="shared" si="110"/>
        <v>2024</v>
      </c>
      <c r="E829" s="3">
        <v>45303</v>
      </c>
      <c r="F829">
        <f t="shared" si="108"/>
        <v>-317</v>
      </c>
      <c r="G829" t="s">
        <v>2552</v>
      </c>
      <c r="H829" t="s">
        <v>114</v>
      </c>
      <c r="I829" t="s">
        <v>95</v>
      </c>
      <c r="J829" t="s">
        <v>54</v>
      </c>
      <c r="K829" t="s">
        <v>247</v>
      </c>
      <c r="L829" t="s">
        <v>248</v>
      </c>
      <c r="M829" t="s">
        <v>28</v>
      </c>
      <c r="N829" t="s">
        <v>29</v>
      </c>
      <c r="O829" t="s">
        <v>2553</v>
      </c>
      <c r="P829" t="s">
        <v>44</v>
      </c>
      <c r="Q829">
        <v>1</v>
      </c>
      <c r="R829">
        <v>844.89</v>
      </c>
      <c r="S829" s="6">
        <v>0.25</v>
      </c>
      <c r="T829" s="6">
        <f t="shared" si="111"/>
        <v>0.25</v>
      </c>
      <c r="U829">
        <v>633.66999999999996</v>
      </c>
      <c r="V829">
        <f t="shared" si="112"/>
        <v>633.66750000000002</v>
      </c>
      <c r="W829" s="6">
        <f t="shared" si="113"/>
        <v>-2.4999999999408828E-3</v>
      </c>
      <c r="X829">
        <v>520.47</v>
      </c>
      <c r="Y829">
        <v>113.2</v>
      </c>
      <c r="Z829">
        <f t="shared" si="114"/>
        <v>113.19749999999999</v>
      </c>
      <c r="AA829" s="6">
        <f t="shared" si="115"/>
        <v>-2.5000000000119371E-3</v>
      </c>
      <c r="AB829">
        <f t="shared" si="116"/>
        <v>0.17863863934950111</v>
      </c>
      <c r="AC829" t="s">
        <v>32</v>
      </c>
      <c r="AD829" t="s">
        <v>68</v>
      </c>
      <c r="AE829" t="s">
        <v>2826</v>
      </c>
      <c r="AF829" s="10" t="s">
        <v>2793</v>
      </c>
    </row>
    <row r="830" spans="1:32">
      <c r="A830" t="s">
        <v>2554</v>
      </c>
      <c r="B830" s="3">
        <v>45940</v>
      </c>
      <c r="C830" t="str">
        <f t="shared" si="109"/>
        <v>October</v>
      </c>
      <c r="D830">
        <f t="shared" si="110"/>
        <v>2025</v>
      </c>
      <c r="E830" s="3">
        <v>45971</v>
      </c>
      <c r="F830">
        <f t="shared" si="108"/>
        <v>31</v>
      </c>
      <c r="G830" t="s">
        <v>2555</v>
      </c>
      <c r="H830" t="s">
        <v>23</v>
      </c>
      <c r="I830" t="s">
        <v>90</v>
      </c>
      <c r="J830" t="s">
        <v>38</v>
      </c>
      <c r="K830" t="s">
        <v>39</v>
      </c>
      <c r="L830" t="s">
        <v>40</v>
      </c>
      <c r="M830" t="s">
        <v>41</v>
      </c>
      <c r="N830" t="s">
        <v>66</v>
      </c>
      <c r="O830" t="s">
        <v>2556</v>
      </c>
      <c r="P830" t="s">
        <v>31</v>
      </c>
      <c r="Q830">
        <v>7</v>
      </c>
      <c r="R830">
        <v>3791.96</v>
      </c>
      <c r="S830" s="6">
        <v>0.05</v>
      </c>
      <c r="T830" s="6">
        <f t="shared" si="111"/>
        <v>0.05</v>
      </c>
      <c r="U830">
        <v>25216.53</v>
      </c>
      <c r="V830">
        <f t="shared" si="112"/>
        <v>25216.534</v>
      </c>
      <c r="W830" s="6">
        <f t="shared" si="113"/>
        <v>4.0000000008149073E-3</v>
      </c>
      <c r="X830">
        <v>14216.94</v>
      </c>
      <c r="Y830">
        <v>10999.59</v>
      </c>
      <c r="Z830">
        <f t="shared" si="114"/>
        <v>10999.593999999999</v>
      </c>
      <c r="AA830" s="6">
        <f t="shared" si="115"/>
        <v>3.9999999989959178E-3</v>
      </c>
      <c r="AB830">
        <f t="shared" si="116"/>
        <v>0.4362056260388521</v>
      </c>
      <c r="AC830" t="s">
        <v>155</v>
      </c>
      <c r="AD830" t="s">
        <v>68</v>
      </c>
      <c r="AE830" t="s">
        <v>2827</v>
      </c>
      <c r="AF830" s="10" t="s">
        <v>2796</v>
      </c>
    </row>
    <row r="831" spans="1:32">
      <c r="A831" t="s">
        <v>2557</v>
      </c>
      <c r="B831" s="3">
        <v>45348</v>
      </c>
      <c r="C831" t="str">
        <f t="shared" si="109"/>
        <v>February</v>
      </c>
      <c r="D831">
        <f t="shared" si="110"/>
        <v>2024</v>
      </c>
      <c r="E831" s="3">
        <v>45350</v>
      </c>
      <c r="F831">
        <f t="shared" si="108"/>
        <v>2</v>
      </c>
      <c r="G831" t="s">
        <v>2558</v>
      </c>
      <c r="H831" t="s">
        <v>89</v>
      </c>
      <c r="I831" t="s">
        <v>37</v>
      </c>
      <c r="J831" t="s">
        <v>63</v>
      </c>
      <c r="K831" t="s">
        <v>190</v>
      </c>
      <c r="L831" t="s">
        <v>191</v>
      </c>
      <c r="M831" t="s">
        <v>41</v>
      </c>
      <c r="N831" t="s">
        <v>57</v>
      </c>
      <c r="O831" t="s">
        <v>2559</v>
      </c>
      <c r="P831" t="s">
        <v>31</v>
      </c>
      <c r="Q831">
        <v>7</v>
      </c>
      <c r="R831">
        <v>1035.1400000000001</v>
      </c>
      <c r="S831" s="6">
        <v>0.1</v>
      </c>
      <c r="T831" s="6">
        <f t="shared" si="111"/>
        <v>0.1</v>
      </c>
      <c r="U831">
        <v>6521.38</v>
      </c>
      <c r="V831">
        <f t="shared" si="112"/>
        <v>6521.3820000000005</v>
      </c>
      <c r="W831" s="6">
        <f t="shared" si="113"/>
        <v>2.0000000004074536E-3</v>
      </c>
      <c r="X831">
        <v>4511.1000000000004</v>
      </c>
      <c r="Y831">
        <v>2010.28</v>
      </c>
      <c r="Z831">
        <f t="shared" si="114"/>
        <v>2010.2820000000002</v>
      </c>
      <c r="AA831" s="6">
        <f t="shared" si="115"/>
        <v>2.00000000018008E-3</v>
      </c>
      <c r="AB831">
        <f t="shared" si="116"/>
        <v>0.30826012032418892</v>
      </c>
      <c r="AC831" t="s">
        <v>32</v>
      </c>
      <c r="AD831" t="s">
        <v>33</v>
      </c>
      <c r="AE831" t="s">
        <v>2828</v>
      </c>
    </row>
    <row r="832" spans="1:32">
      <c r="A832" t="s">
        <v>2560</v>
      </c>
      <c r="B832" s="3">
        <v>45853</v>
      </c>
      <c r="C832" t="str">
        <f t="shared" si="109"/>
        <v>July</v>
      </c>
      <c r="D832">
        <f t="shared" si="110"/>
        <v>2025</v>
      </c>
      <c r="E832" s="3">
        <v>45856</v>
      </c>
      <c r="F832">
        <f t="shared" si="108"/>
        <v>3</v>
      </c>
      <c r="G832" t="s">
        <v>2561</v>
      </c>
      <c r="H832" t="s">
        <v>89</v>
      </c>
      <c r="I832" t="s">
        <v>37</v>
      </c>
      <c r="J832" t="s">
        <v>2781</v>
      </c>
      <c r="K832" t="s">
        <v>247</v>
      </c>
      <c r="L832" t="s">
        <v>248</v>
      </c>
      <c r="M832" t="s">
        <v>74</v>
      </c>
      <c r="N832" t="s">
        <v>274</v>
      </c>
      <c r="O832" t="s">
        <v>2562</v>
      </c>
      <c r="P832" t="s">
        <v>50</v>
      </c>
      <c r="Q832">
        <v>6</v>
      </c>
      <c r="R832">
        <v>2382.88</v>
      </c>
      <c r="S832" s="6">
        <v>0.1</v>
      </c>
      <c r="T832" s="6">
        <f t="shared" si="111"/>
        <v>0.1</v>
      </c>
      <c r="U832">
        <v>12867.55</v>
      </c>
      <c r="V832">
        <f t="shared" si="112"/>
        <v>12867.552000000001</v>
      </c>
      <c r="W832" s="6">
        <f t="shared" si="113"/>
        <v>2.000000002226443E-3</v>
      </c>
      <c r="X832">
        <v>10068.94</v>
      </c>
      <c r="Y832">
        <v>2798.61</v>
      </c>
      <c r="Z832">
        <f t="shared" si="114"/>
        <v>2798.612000000001</v>
      </c>
      <c r="AA832" s="6">
        <f t="shared" si="115"/>
        <v>2.000000000862201E-3</v>
      </c>
      <c r="AB832">
        <f t="shared" si="116"/>
        <v>0.21749373929089236</v>
      </c>
      <c r="AC832" t="s">
        <v>32</v>
      </c>
      <c r="AD832" t="s">
        <v>33</v>
      </c>
      <c r="AE832" t="s">
        <v>2828</v>
      </c>
    </row>
    <row r="833" spans="1:32">
      <c r="A833" t="s">
        <v>2563</v>
      </c>
      <c r="B833" s="3">
        <v>45750</v>
      </c>
      <c r="C833" t="str">
        <f t="shared" si="109"/>
        <v>April</v>
      </c>
      <c r="D833">
        <f t="shared" si="110"/>
        <v>2025</v>
      </c>
      <c r="E833" s="3">
        <v>45720</v>
      </c>
      <c r="F833">
        <f t="shared" si="108"/>
        <v>-30</v>
      </c>
      <c r="G833" t="s">
        <v>2564</v>
      </c>
      <c r="H833" t="s">
        <v>162</v>
      </c>
      <c r="I833" t="s">
        <v>95</v>
      </c>
      <c r="J833" t="s">
        <v>2781</v>
      </c>
      <c r="K833" t="s">
        <v>236</v>
      </c>
      <c r="L833" t="s">
        <v>237</v>
      </c>
      <c r="M833" t="s">
        <v>41</v>
      </c>
      <c r="N833" t="s">
        <v>66</v>
      </c>
      <c r="O833" t="s">
        <v>2565</v>
      </c>
      <c r="P833" t="s">
        <v>50</v>
      </c>
      <c r="Q833">
        <v>9</v>
      </c>
      <c r="R833">
        <v>3462.7</v>
      </c>
      <c r="S833" s="6">
        <v>0.15</v>
      </c>
      <c r="T833" s="6">
        <f t="shared" si="111"/>
        <v>0.15</v>
      </c>
      <c r="U833">
        <v>26489.65</v>
      </c>
      <c r="V833">
        <f t="shared" si="112"/>
        <v>26489.654999999999</v>
      </c>
      <c r="W833" s="6">
        <f t="shared" si="113"/>
        <v>4.9999999973806553E-3</v>
      </c>
      <c r="X833">
        <v>15818.46</v>
      </c>
      <c r="Y833">
        <v>10671.19</v>
      </c>
      <c r="Z833">
        <f t="shared" si="114"/>
        <v>10671.195</v>
      </c>
      <c r="AA833" s="6">
        <f t="shared" si="115"/>
        <v>4.9999999991996447E-3</v>
      </c>
      <c r="AB833">
        <f t="shared" si="116"/>
        <v>0.40284386489744772</v>
      </c>
      <c r="AC833" t="s">
        <v>155</v>
      </c>
      <c r="AD833" t="s">
        <v>103</v>
      </c>
      <c r="AE833" t="s">
        <v>2826</v>
      </c>
      <c r="AF833" s="10" t="s">
        <v>2816</v>
      </c>
    </row>
    <row r="834" spans="1:32">
      <c r="A834" t="s">
        <v>2566</v>
      </c>
      <c r="B834" s="3">
        <v>45803</v>
      </c>
      <c r="C834" t="str">
        <f t="shared" si="109"/>
        <v>May</v>
      </c>
      <c r="D834">
        <f t="shared" si="110"/>
        <v>2025</v>
      </c>
      <c r="E834" s="3">
        <v>45805</v>
      </c>
      <c r="F834">
        <f t="shared" ref="F834:F897" si="117">E834-B834</f>
        <v>2</v>
      </c>
      <c r="G834" t="s">
        <v>2567</v>
      </c>
      <c r="H834" t="s">
        <v>264</v>
      </c>
      <c r="I834" t="s">
        <v>37</v>
      </c>
      <c r="J834" t="s">
        <v>54</v>
      </c>
      <c r="K834" t="s">
        <v>84</v>
      </c>
      <c r="L834" t="s">
        <v>85</v>
      </c>
      <c r="M834" t="s">
        <v>74</v>
      </c>
      <c r="N834" t="s">
        <v>171</v>
      </c>
      <c r="O834" t="s">
        <v>2568</v>
      </c>
      <c r="P834" t="s">
        <v>31</v>
      </c>
      <c r="Q834">
        <v>9</v>
      </c>
      <c r="R834">
        <v>4302.0200000000004</v>
      </c>
      <c r="S834" s="6">
        <v>0.05</v>
      </c>
      <c r="T834" s="6">
        <f t="shared" si="111"/>
        <v>0.05</v>
      </c>
      <c r="U834">
        <v>36782.269999999997</v>
      </c>
      <c r="V834">
        <f t="shared" si="112"/>
        <v>36782.271000000008</v>
      </c>
      <c r="W834" s="6">
        <f t="shared" si="113"/>
        <v>1.0000000111176632E-3</v>
      </c>
      <c r="X834">
        <v>25902.81</v>
      </c>
      <c r="Y834">
        <v>10879.46</v>
      </c>
      <c r="Z834">
        <f t="shared" si="114"/>
        <v>10879.461000000007</v>
      </c>
      <c r="AA834" s="6">
        <f t="shared" si="115"/>
        <v>1.0000000074796844E-3</v>
      </c>
      <c r="AB834">
        <f t="shared" si="116"/>
        <v>0.29578002402298664</v>
      </c>
      <c r="AC834" t="s">
        <v>32</v>
      </c>
      <c r="AD834" t="s">
        <v>33</v>
      </c>
      <c r="AE834" t="s">
        <v>2828</v>
      </c>
    </row>
    <row r="835" spans="1:32">
      <c r="A835" t="s">
        <v>2569</v>
      </c>
      <c r="B835" s="3">
        <v>45388</v>
      </c>
      <c r="C835" t="str">
        <f t="shared" ref="C835:C898" si="118">TEXT(B835, "mmmm")</f>
        <v>April</v>
      </c>
      <c r="D835">
        <f t="shared" ref="D835:D898" si="119">YEAR(B835)</f>
        <v>2024</v>
      </c>
      <c r="E835" s="3">
        <v>45447</v>
      </c>
      <c r="F835">
        <f t="shared" si="117"/>
        <v>59</v>
      </c>
      <c r="G835" t="s">
        <v>2570</v>
      </c>
      <c r="H835" t="s">
        <v>118</v>
      </c>
      <c r="I835" t="s">
        <v>95</v>
      </c>
      <c r="J835" t="s">
        <v>38</v>
      </c>
      <c r="K835" t="s">
        <v>99</v>
      </c>
      <c r="L835" t="s">
        <v>100</v>
      </c>
      <c r="M835" t="s">
        <v>41</v>
      </c>
      <c r="N835" t="s">
        <v>158</v>
      </c>
      <c r="O835" t="s">
        <v>2571</v>
      </c>
      <c r="P835" t="s">
        <v>50</v>
      </c>
      <c r="Q835">
        <v>6</v>
      </c>
      <c r="R835">
        <v>3949.4</v>
      </c>
      <c r="S835" s="6">
        <v>0</v>
      </c>
      <c r="T835" s="6">
        <f t="shared" ref="T835:T898" si="120">ABS(S835)</f>
        <v>0</v>
      </c>
      <c r="U835">
        <v>23696.400000000001</v>
      </c>
      <c r="V835">
        <f t="shared" ref="V835:V898" si="121">Q835*R835*(1-T835)</f>
        <v>23696.400000000001</v>
      </c>
      <c r="W835" s="6">
        <f t="shared" ref="W835:W898" si="122">V835-U835</f>
        <v>0</v>
      </c>
      <c r="X835">
        <v>18109.77</v>
      </c>
      <c r="Y835">
        <v>5586.63</v>
      </c>
      <c r="Z835">
        <f t="shared" ref="Z835:Z898" si="123">V835-X835</f>
        <v>5586.630000000001</v>
      </c>
      <c r="AA835" s="6">
        <f t="shared" ref="AA835:AA898" si="124">Z835-Y835</f>
        <v>0</v>
      </c>
      <c r="AB835">
        <f t="shared" ref="AB835:AB898" si="125">Z835/V835</f>
        <v>0.23575859624246723</v>
      </c>
      <c r="AC835" t="s">
        <v>32</v>
      </c>
      <c r="AD835" t="s">
        <v>33</v>
      </c>
      <c r="AE835" t="s">
        <v>2828</v>
      </c>
    </row>
    <row r="836" spans="1:32">
      <c r="A836" t="s">
        <v>2572</v>
      </c>
      <c r="B836" s="3">
        <v>45583</v>
      </c>
      <c r="C836" t="str">
        <f t="shared" si="118"/>
        <v>October</v>
      </c>
      <c r="D836">
        <f t="shared" si="119"/>
        <v>2024</v>
      </c>
      <c r="E836" s="3">
        <v>45587</v>
      </c>
      <c r="F836">
        <f t="shared" si="117"/>
        <v>4</v>
      </c>
      <c r="G836" t="s">
        <v>2573</v>
      </c>
      <c r="H836" t="s">
        <v>128</v>
      </c>
      <c r="I836" t="s">
        <v>95</v>
      </c>
      <c r="J836" t="s">
        <v>54</v>
      </c>
      <c r="K836" t="s">
        <v>55</v>
      </c>
      <c r="L836" t="s">
        <v>56</v>
      </c>
      <c r="M836" t="s">
        <v>28</v>
      </c>
      <c r="N836" t="s">
        <v>48</v>
      </c>
      <c r="O836" t="s">
        <v>2574</v>
      </c>
      <c r="P836" t="s">
        <v>50</v>
      </c>
      <c r="Q836">
        <v>6</v>
      </c>
      <c r="R836">
        <v>674.61</v>
      </c>
      <c r="S836" s="6">
        <v>0</v>
      </c>
      <c r="T836" s="6">
        <f t="shared" si="120"/>
        <v>0</v>
      </c>
      <c r="U836">
        <v>4047.66</v>
      </c>
      <c r="V836">
        <f t="shared" si="121"/>
        <v>4047.66</v>
      </c>
      <c r="W836" s="6">
        <f t="shared" si="122"/>
        <v>0</v>
      </c>
      <c r="X836">
        <v>3078.93</v>
      </c>
      <c r="Y836">
        <v>1279.79</v>
      </c>
      <c r="Z836">
        <f t="shared" si="123"/>
        <v>968.73</v>
      </c>
      <c r="AA836" s="6">
        <f t="shared" si="124"/>
        <v>-311.05999999999995</v>
      </c>
      <c r="AB836">
        <f t="shared" si="125"/>
        <v>0.23933087265234729</v>
      </c>
      <c r="AC836" t="s">
        <v>32</v>
      </c>
      <c r="AD836" t="s">
        <v>33</v>
      </c>
      <c r="AE836" t="s">
        <v>2828</v>
      </c>
    </row>
    <row r="837" spans="1:32">
      <c r="A837" t="s">
        <v>2575</v>
      </c>
      <c r="B837" s="3">
        <v>45926</v>
      </c>
      <c r="C837" t="str">
        <f t="shared" si="118"/>
        <v>September</v>
      </c>
      <c r="D837">
        <f t="shared" si="119"/>
        <v>2025</v>
      </c>
      <c r="E837" s="3">
        <v>45757</v>
      </c>
      <c r="F837">
        <f t="shared" si="117"/>
        <v>-169</v>
      </c>
      <c r="G837" t="s">
        <v>2576</v>
      </c>
      <c r="H837" t="s">
        <v>114</v>
      </c>
      <c r="I837" t="s">
        <v>37</v>
      </c>
      <c r="J837" t="s">
        <v>38</v>
      </c>
      <c r="K837" t="s">
        <v>166</v>
      </c>
      <c r="L837" t="s">
        <v>167</v>
      </c>
      <c r="M837" t="s">
        <v>74</v>
      </c>
      <c r="N837" t="s">
        <v>171</v>
      </c>
      <c r="O837" t="s">
        <v>2577</v>
      </c>
      <c r="P837" t="s">
        <v>31</v>
      </c>
      <c r="Q837">
        <v>7</v>
      </c>
      <c r="R837">
        <v>1509.59</v>
      </c>
      <c r="S837" s="6">
        <v>0.05</v>
      </c>
      <c r="T837" s="6">
        <f t="shared" si="120"/>
        <v>0.05</v>
      </c>
      <c r="U837">
        <v>10038.77</v>
      </c>
      <c r="V837">
        <f t="shared" si="121"/>
        <v>10038.773499999999</v>
      </c>
      <c r="W837" s="6">
        <f t="shared" si="122"/>
        <v>3.4999999988940544E-3</v>
      </c>
      <c r="X837">
        <v>5673.1</v>
      </c>
      <c r="Y837">
        <v>4365.67</v>
      </c>
      <c r="Z837">
        <f t="shared" si="123"/>
        <v>4365.673499999999</v>
      </c>
      <c r="AA837" s="6">
        <f t="shared" si="124"/>
        <v>3.4999999988940544E-3</v>
      </c>
      <c r="AB837">
        <f t="shared" si="125"/>
        <v>0.43488116352062323</v>
      </c>
      <c r="AC837" t="s">
        <v>32</v>
      </c>
      <c r="AD837" t="s">
        <v>33</v>
      </c>
      <c r="AE837" t="s">
        <v>2826</v>
      </c>
      <c r="AF837" s="10" t="s">
        <v>2790</v>
      </c>
    </row>
    <row r="838" spans="1:32">
      <c r="A838" t="s">
        <v>2578</v>
      </c>
      <c r="B838" s="3">
        <v>45641</v>
      </c>
      <c r="C838" t="str">
        <f t="shared" si="118"/>
        <v>December</v>
      </c>
      <c r="D838">
        <f t="shared" si="119"/>
        <v>2024</v>
      </c>
      <c r="E838" s="3">
        <v>45644</v>
      </c>
      <c r="F838">
        <f t="shared" si="117"/>
        <v>3</v>
      </c>
      <c r="G838" t="s">
        <v>2579</v>
      </c>
      <c r="H838" t="s">
        <v>47</v>
      </c>
      <c r="I838" t="s">
        <v>37</v>
      </c>
      <c r="J838" t="s">
        <v>25</v>
      </c>
      <c r="K838" t="s">
        <v>26</v>
      </c>
      <c r="L838" t="s">
        <v>27</v>
      </c>
      <c r="M838" t="s">
        <v>28</v>
      </c>
      <c r="N838" t="s">
        <v>91</v>
      </c>
      <c r="O838" t="s">
        <v>2580</v>
      </c>
      <c r="P838" t="s">
        <v>31</v>
      </c>
      <c r="Q838">
        <v>2</v>
      </c>
      <c r="R838">
        <v>537.11</v>
      </c>
      <c r="S838" s="6">
        <v>0</v>
      </c>
      <c r="T838" s="6">
        <f t="shared" si="120"/>
        <v>0</v>
      </c>
      <c r="U838">
        <v>1074.22</v>
      </c>
      <c r="V838">
        <f t="shared" si="121"/>
        <v>1074.22</v>
      </c>
      <c r="W838" s="6">
        <f t="shared" si="122"/>
        <v>0</v>
      </c>
      <c r="X838">
        <v>850.86</v>
      </c>
      <c r="Y838">
        <v>223.36</v>
      </c>
      <c r="Z838">
        <f t="shared" si="123"/>
        <v>223.36</v>
      </c>
      <c r="AA838" s="6">
        <f t="shared" si="124"/>
        <v>0</v>
      </c>
      <c r="AB838">
        <f t="shared" si="125"/>
        <v>0.20792761259332354</v>
      </c>
      <c r="AC838" t="s">
        <v>32</v>
      </c>
      <c r="AD838" t="s">
        <v>33</v>
      </c>
      <c r="AE838" t="s">
        <v>2828</v>
      </c>
    </row>
    <row r="839" spans="1:32">
      <c r="A839" t="s">
        <v>2581</v>
      </c>
      <c r="B839" s="3">
        <v>45927</v>
      </c>
      <c r="C839" t="str">
        <f t="shared" si="118"/>
        <v>September</v>
      </c>
      <c r="D839">
        <f t="shared" si="119"/>
        <v>2025</v>
      </c>
      <c r="E839" s="3">
        <v>45928</v>
      </c>
      <c r="F839">
        <f t="shared" si="117"/>
        <v>1</v>
      </c>
      <c r="G839" t="s">
        <v>2582</v>
      </c>
      <c r="H839" t="s">
        <v>23</v>
      </c>
      <c r="I839" t="s">
        <v>95</v>
      </c>
      <c r="J839" t="s">
        <v>63</v>
      </c>
      <c r="K839" t="s">
        <v>64</v>
      </c>
      <c r="L839" t="s">
        <v>65</v>
      </c>
      <c r="M839" t="s">
        <v>28</v>
      </c>
      <c r="N839" t="s">
        <v>29</v>
      </c>
      <c r="O839" t="s">
        <v>2583</v>
      </c>
      <c r="P839" t="s">
        <v>50</v>
      </c>
      <c r="Q839">
        <v>3</v>
      </c>
      <c r="R839">
        <v>4177.63</v>
      </c>
      <c r="S839" s="6">
        <v>0.25</v>
      </c>
      <c r="T839" s="6">
        <f t="shared" si="120"/>
        <v>0.25</v>
      </c>
      <c r="U839">
        <v>9399.67</v>
      </c>
      <c r="V839">
        <f t="shared" si="121"/>
        <v>9399.6674999999996</v>
      </c>
      <c r="W839" s="6">
        <f t="shared" si="122"/>
        <v>-2.500000000509317E-3</v>
      </c>
      <c r="X839">
        <v>6540.37</v>
      </c>
      <c r="Y839">
        <v>2859.3</v>
      </c>
      <c r="Z839">
        <f t="shared" si="123"/>
        <v>2859.2974999999997</v>
      </c>
      <c r="AA839" s="6">
        <f t="shared" si="124"/>
        <v>-2.500000000509317E-3</v>
      </c>
      <c r="AB839">
        <f t="shared" si="125"/>
        <v>0.30419134506619516</v>
      </c>
      <c r="AC839" t="s">
        <v>32</v>
      </c>
      <c r="AD839" t="s">
        <v>33</v>
      </c>
      <c r="AE839" t="s">
        <v>2828</v>
      </c>
    </row>
    <row r="840" spans="1:32">
      <c r="A840" t="s">
        <v>2584</v>
      </c>
      <c r="B840" s="3">
        <v>45750</v>
      </c>
      <c r="C840" t="str">
        <f t="shared" si="118"/>
        <v>April</v>
      </c>
      <c r="D840">
        <f t="shared" si="119"/>
        <v>2025</v>
      </c>
      <c r="E840" s="3">
        <v>45842</v>
      </c>
      <c r="F840">
        <f t="shared" si="117"/>
        <v>92</v>
      </c>
      <c r="G840" t="s">
        <v>2585</v>
      </c>
      <c r="H840" t="s">
        <v>62</v>
      </c>
      <c r="I840" t="s">
        <v>37</v>
      </c>
      <c r="J840" t="s">
        <v>63</v>
      </c>
      <c r="K840" t="s">
        <v>190</v>
      </c>
      <c r="L840" t="s">
        <v>191</v>
      </c>
      <c r="M840" t="s">
        <v>28</v>
      </c>
      <c r="N840" t="s">
        <v>29</v>
      </c>
      <c r="O840" t="s">
        <v>2586</v>
      </c>
      <c r="P840" t="s">
        <v>44</v>
      </c>
      <c r="Q840">
        <v>1</v>
      </c>
      <c r="R840">
        <v>1470.57</v>
      </c>
      <c r="S840" s="6">
        <v>0</v>
      </c>
      <c r="T840" s="6">
        <f t="shared" si="120"/>
        <v>0</v>
      </c>
      <c r="U840">
        <v>1470.57</v>
      </c>
      <c r="V840">
        <f t="shared" si="121"/>
        <v>1470.57</v>
      </c>
      <c r="W840" s="6">
        <f t="shared" si="122"/>
        <v>0</v>
      </c>
      <c r="X840">
        <v>834.02</v>
      </c>
      <c r="Y840">
        <v>636.54999999999995</v>
      </c>
      <c r="Z840">
        <f t="shared" si="123"/>
        <v>636.54999999999995</v>
      </c>
      <c r="AA840" s="6">
        <f t="shared" si="124"/>
        <v>0</v>
      </c>
      <c r="AB840">
        <f t="shared" si="125"/>
        <v>0.43285936745615644</v>
      </c>
      <c r="AC840" t="s">
        <v>32</v>
      </c>
      <c r="AD840" t="s">
        <v>103</v>
      </c>
      <c r="AE840" t="s">
        <v>2827</v>
      </c>
      <c r="AF840" t="s">
        <v>103</v>
      </c>
    </row>
    <row r="841" spans="1:32">
      <c r="A841" t="s">
        <v>2587</v>
      </c>
      <c r="B841" s="3">
        <v>45555</v>
      </c>
      <c r="C841" t="str">
        <f t="shared" si="118"/>
        <v>September</v>
      </c>
      <c r="D841">
        <f t="shared" si="119"/>
        <v>2024</v>
      </c>
      <c r="E841" s="3">
        <v>45557</v>
      </c>
      <c r="F841">
        <f t="shared" si="117"/>
        <v>2</v>
      </c>
      <c r="G841" t="s">
        <v>2588</v>
      </c>
      <c r="H841" t="s">
        <v>141</v>
      </c>
      <c r="I841" t="s">
        <v>95</v>
      </c>
      <c r="J841" t="s">
        <v>38</v>
      </c>
      <c r="K841" t="s">
        <v>39</v>
      </c>
      <c r="L841" t="s">
        <v>40</v>
      </c>
      <c r="M841" t="s">
        <v>74</v>
      </c>
      <c r="N841" t="s">
        <v>171</v>
      </c>
      <c r="O841" t="s">
        <v>2589</v>
      </c>
      <c r="P841" t="s">
        <v>59</v>
      </c>
      <c r="Q841">
        <v>8</v>
      </c>
      <c r="R841">
        <v>531.42999999999995</v>
      </c>
      <c r="S841" s="6">
        <v>0.1</v>
      </c>
      <c r="T841" s="6">
        <f t="shared" si="120"/>
        <v>0.1</v>
      </c>
      <c r="U841">
        <v>3826.3</v>
      </c>
      <c r="V841">
        <f t="shared" si="121"/>
        <v>3826.2959999999998</v>
      </c>
      <c r="W841" s="6">
        <f t="shared" si="122"/>
        <v>-4.0000000003601599E-3</v>
      </c>
      <c r="X841">
        <v>2194.12</v>
      </c>
      <c r="Y841">
        <v>1632.18</v>
      </c>
      <c r="Z841">
        <f t="shared" si="123"/>
        <v>1632.1759999999999</v>
      </c>
      <c r="AA841" s="6">
        <f t="shared" si="124"/>
        <v>-4.0000000001327862E-3</v>
      </c>
      <c r="AB841">
        <f t="shared" si="125"/>
        <v>0.42656814841298218</v>
      </c>
      <c r="AC841" t="s">
        <v>32</v>
      </c>
      <c r="AD841" t="s">
        <v>33</v>
      </c>
      <c r="AE841" t="s">
        <v>2828</v>
      </c>
    </row>
    <row r="842" spans="1:32">
      <c r="A842" t="s">
        <v>2590</v>
      </c>
      <c r="B842" s="3">
        <v>45919</v>
      </c>
      <c r="C842" t="str">
        <f t="shared" si="118"/>
        <v>September</v>
      </c>
      <c r="D842">
        <f t="shared" si="119"/>
        <v>2025</v>
      </c>
      <c r="E842" s="3">
        <v>45919</v>
      </c>
      <c r="F842">
        <f t="shared" si="117"/>
        <v>0</v>
      </c>
      <c r="G842" t="s">
        <v>2591</v>
      </c>
      <c r="H842" t="s">
        <v>79</v>
      </c>
      <c r="I842" t="s">
        <v>95</v>
      </c>
      <c r="J842" t="s">
        <v>25</v>
      </c>
      <c r="K842" t="s">
        <v>350</v>
      </c>
      <c r="L842" t="s">
        <v>351</v>
      </c>
      <c r="M842" t="s">
        <v>41</v>
      </c>
      <c r="N842" t="s">
        <v>66</v>
      </c>
      <c r="O842" t="s">
        <v>2592</v>
      </c>
      <c r="P842" t="s">
        <v>44</v>
      </c>
      <c r="Q842">
        <v>4</v>
      </c>
      <c r="R842">
        <v>1584.11</v>
      </c>
      <c r="S842" s="6">
        <v>0</v>
      </c>
      <c r="T842" s="6">
        <f t="shared" si="120"/>
        <v>0</v>
      </c>
      <c r="U842">
        <v>6336.44</v>
      </c>
      <c r="V842">
        <f t="shared" si="121"/>
        <v>6336.44</v>
      </c>
      <c r="W842" s="6">
        <f t="shared" si="122"/>
        <v>0</v>
      </c>
      <c r="X842">
        <v>4680.68</v>
      </c>
      <c r="Y842">
        <v>1655.76</v>
      </c>
      <c r="Z842">
        <f t="shared" si="123"/>
        <v>1655.7599999999993</v>
      </c>
      <c r="AA842" s="6">
        <f t="shared" si="124"/>
        <v>0</v>
      </c>
      <c r="AB842">
        <f t="shared" si="125"/>
        <v>0.26130761121386764</v>
      </c>
      <c r="AC842" t="s">
        <v>32</v>
      </c>
      <c r="AD842" t="s">
        <v>33</v>
      </c>
      <c r="AE842" t="s">
        <v>2828</v>
      </c>
    </row>
    <row r="843" spans="1:32">
      <c r="A843" t="s">
        <v>2593</v>
      </c>
      <c r="B843" s="3">
        <v>45810</v>
      </c>
      <c r="C843" t="str">
        <f t="shared" si="118"/>
        <v>June</v>
      </c>
      <c r="D843">
        <f t="shared" si="119"/>
        <v>2025</v>
      </c>
      <c r="E843" s="3">
        <v>45993</v>
      </c>
      <c r="F843">
        <f t="shared" si="117"/>
        <v>183</v>
      </c>
      <c r="G843" t="s">
        <v>2594</v>
      </c>
      <c r="H843" t="s">
        <v>62</v>
      </c>
      <c r="I843" t="s">
        <v>37</v>
      </c>
      <c r="J843" t="s">
        <v>38</v>
      </c>
      <c r="K843" t="s">
        <v>145</v>
      </c>
      <c r="L843" t="s">
        <v>146</v>
      </c>
      <c r="M843" t="s">
        <v>28</v>
      </c>
      <c r="N843" t="s">
        <v>48</v>
      </c>
      <c r="O843" t="s">
        <v>2595</v>
      </c>
      <c r="P843" t="s">
        <v>59</v>
      </c>
      <c r="Q843">
        <v>9</v>
      </c>
      <c r="R843">
        <v>3237.16</v>
      </c>
      <c r="S843" s="6">
        <v>0.25</v>
      </c>
      <c r="T843" s="6">
        <f t="shared" si="120"/>
        <v>0.25</v>
      </c>
      <c r="U843">
        <v>21850.83</v>
      </c>
      <c r="V843">
        <f t="shared" si="121"/>
        <v>21850.829999999998</v>
      </c>
      <c r="W843" s="6">
        <f t="shared" si="122"/>
        <v>0</v>
      </c>
      <c r="X843">
        <v>16600.13</v>
      </c>
      <c r="Y843">
        <v>5250.7</v>
      </c>
      <c r="Z843">
        <f t="shared" si="123"/>
        <v>5250.6999999999971</v>
      </c>
      <c r="AA843" s="6">
        <f t="shared" si="124"/>
        <v>0</v>
      </c>
      <c r="AB843">
        <f t="shared" si="125"/>
        <v>0.2402975081495759</v>
      </c>
      <c r="AC843" t="s">
        <v>32</v>
      </c>
      <c r="AD843" t="s">
        <v>33</v>
      </c>
      <c r="AE843" t="s">
        <v>2828</v>
      </c>
    </row>
    <row r="844" spans="1:32">
      <c r="A844" t="s">
        <v>2596</v>
      </c>
      <c r="B844" s="3">
        <v>45382</v>
      </c>
      <c r="C844" t="str">
        <f t="shared" si="118"/>
        <v>March</v>
      </c>
      <c r="D844">
        <f t="shared" si="119"/>
        <v>2024</v>
      </c>
      <c r="E844" s="3">
        <v>45381</v>
      </c>
      <c r="F844">
        <f t="shared" si="117"/>
        <v>-1</v>
      </c>
      <c r="G844" t="s">
        <v>2597</v>
      </c>
      <c r="H844" t="s">
        <v>264</v>
      </c>
      <c r="I844" t="s">
        <v>24</v>
      </c>
      <c r="J844" t="s">
        <v>25</v>
      </c>
      <c r="K844" t="s">
        <v>236</v>
      </c>
      <c r="L844" t="s">
        <v>237</v>
      </c>
      <c r="M844" t="s">
        <v>74</v>
      </c>
      <c r="N844" t="s">
        <v>274</v>
      </c>
      <c r="O844" t="s">
        <v>2598</v>
      </c>
      <c r="P844" t="s">
        <v>50</v>
      </c>
      <c r="Q844">
        <v>4</v>
      </c>
      <c r="R844">
        <v>2192.08</v>
      </c>
      <c r="S844" s="6">
        <v>0.15</v>
      </c>
      <c r="T844" s="6">
        <f t="shared" si="120"/>
        <v>0.15</v>
      </c>
      <c r="U844">
        <v>7453.07</v>
      </c>
      <c r="V844">
        <f t="shared" si="121"/>
        <v>7453.0719999999992</v>
      </c>
      <c r="W844" s="6">
        <f t="shared" si="122"/>
        <v>1.9999999994979589E-3</v>
      </c>
      <c r="X844">
        <v>5133.78</v>
      </c>
      <c r="Y844">
        <v>2319.29</v>
      </c>
      <c r="Z844">
        <f t="shared" si="123"/>
        <v>2319.2919999999995</v>
      </c>
      <c r="AA844" s="6">
        <f t="shared" si="124"/>
        <v>1.9999999994979589E-3</v>
      </c>
      <c r="AB844">
        <f t="shared" si="125"/>
        <v>0.31118604516365866</v>
      </c>
      <c r="AC844" t="s">
        <v>32</v>
      </c>
      <c r="AD844" t="s">
        <v>103</v>
      </c>
      <c r="AE844" t="s">
        <v>2826</v>
      </c>
      <c r="AF844" s="10" t="s">
        <v>2818</v>
      </c>
    </row>
    <row r="845" spans="1:32">
      <c r="A845" t="s">
        <v>2599</v>
      </c>
      <c r="B845" s="3">
        <v>45856</v>
      </c>
      <c r="C845" t="str">
        <f t="shared" si="118"/>
        <v>July</v>
      </c>
      <c r="D845">
        <f t="shared" si="119"/>
        <v>2025</v>
      </c>
      <c r="E845" s="3">
        <v>45863</v>
      </c>
      <c r="F845">
        <f t="shared" si="117"/>
        <v>7</v>
      </c>
      <c r="G845" t="s">
        <v>2600</v>
      </c>
      <c r="H845" t="s">
        <v>114</v>
      </c>
      <c r="I845" t="s">
        <v>37</v>
      </c>
      <c r="J845" t="s">
        <v>25</v>
      </c>
      <c r="K845" t="s">
        <v>136</v>
      </c>
      <c r="L845" t="s">
        <v>137</v>
      </c>
      <c r="M845" t="s">
        <v>74</v>
      </c>
      <c r="N845" t="s">
        <v>171</v>
      </c>
      <c r="O845" t="s">
        <v>2601</v>
      </c>
      <c r="P845" t="s">
        <v>50</v>
      </c>
      <c r="Q845">
        <v>9</v>
      </c>
      <c r="R845">
        <v>3989.52</v>
      </c>
      <c r="S845" s="6">
        <v>-0.02</v>
      </c>
      <c r="T845" s="6">
        <f t="shared" si="120"/>
        <v>0.02</v>
      </c>
      <c r="U845">
        <v>35905.68</v>
      </c>
      <c r="V845">
        <f t="shared" si="121"/>
        <v>35187.566399999996</v>
      </c>
      <c r="W845" s="6">
        <f t="shared" si="122"/>
        <v>-718.11360000000423</v>
      </c>
      <c r="X845">
        <v>23916.1</v>
      </c>
      <c r="Y845">
        <v>11989.58</v>
      </c>
      <c r="Z845">
        <f t="shared" si="123"/>
        <v>11271.466399999998</v>
      </c>
      <c r="AA845" s="6">
        <f t="shared" si="124"/>
        <v>-718.11360000000241</v>
      </c>
      <c r="AB845">
        <f t="shared" si="125"/>
        <v>0.32032526125478228</v>
      </c>
      <c r="AC845" t="s">
        <v>32</v>
      </c>
      <c r="AD845" t="s">
        <v>33</v>
      </c>
      <c r="AE845" t="s">
        <v>2826</v>
      </c>
      <c r="AF845" s="10" t="s">
        <v>2791</v>
      </c>
    </row>
    <row r="846" spans="1:32">
      <c r="A846" t="s">
        <v>2602</v>
      </c>
      <c r="B846" s="3">
        <v>45677</v>
      </c>
      <c r="C846" t="str">
        <f t="shared" si="118"/>
        <v>January</v>
      </c>
      <c r="D846">
        <f t="shared" si="119"/>
        <v>2025</v>
      </c>
      <c r="E846" s="3">
        <v>45682</v>
      </c>
      <c r="F846">
        <f t="shared" si="117"/>
        <v>5</v>
      </c>
      <c r="G846" t="s">
        <v>2603</v>
      </c>
      <c r="H846" t="s">
        <v>89</v>
      </c>
      <c r="I846" t="s">
        <v>95</v>
      </c>
      <c r="J846" t="s">
        <v>63</v>
      </c>
      <c r="K846" t="s">
        <v>190</v>
      </c>
      <c r="L846" t="s">
        <v>191</v>
      </c>
      <c r="M846" t="s">
        <v>28</v>
      </c>
      <c r="N846" t="s">
        <v>48</v>
      </c>
      <c r="O846" t="s">
        <v>2604</v>
      </c>
      <c r="P846" t="s">
        <v>50</v>
      </c>
      <c r="Q846">
        <v>1</v>
      </c>
      <c r="R846">
        <v>3515.15</v>
      </c>
      <c r="S846" s="6">
        <v>0</v>
      </c>
      <c r="T846" s="6">
        <f t="shared" si="120"/>
        <v>0</v>
      </c>
      <c r="U846">
        <v>3515.15</v>
      </c>
      <c r="V846">
        <f t="shared" si="121"/>
        <v>3515.15</v>
      </c>
      <c r="W846" s="6">
        <f t="shared" si="122"/>
        <v>0</v>
      </c>
      <c r="X846">
        <v>2216.34</v>
      </c>
      <c r="Y846">
        <v>1298.81</v>
      </c>
      <c r="Z846">
        <f t="shared" si="123"/>
        <v>1298.81</v>
      </c>
      <c r="AA846" s="6">
        <f t="shared" si="124"/>
        <v>0</v>
      </c>
      <c r="AB846">
        <f t="shared" si="125"/>
        <v>0.36948921098672882</v>
      </c>
      <c r="AC846" t="s">
        <v>32</v>
      </c>
      <c r="AD846" t="s">
        <v>33</v>
      </c>
      <c r="AE846" t="s">
        <v>2828</v>
      </c>
    </row>
    <row r="847" spans="1:32">
      <c r="A847" t="s">
        <v>2605</v>
      </c>
      <c r="B847" s="3">
        <v>45345</v>
      </c>
      <c r="C847" t="str">
        <f t="shared" si="118"/>
        <v>February</v>
      </c>
      <c r="D847">
        <f t="shared" si="119"/>
        <v>2024</v>
      </c>
      <c r="E847" s="3">
        <v>45349</v>
      </c>
      <c r="F847">
        <f t="shared" si="117"/>
        <v>4</v>
      </c>
      <c r="G847" t="s">
        <v>592</v>
      </c>
      <c r="H847" t="s">
        <v>23</v>
      </c>
      <c r="I847" t="s">
        <v>24</v>
      </c>
      <c r="J847" t="s">
        <v>38</v>
      </c>
      <c r="K847" t="s">
        <v>39</v>
      </c>
      <c r="L847" t="s">
        <v>40</v>
      </c>
      <c r="M847" t="s">
        <v>41</v>
      </c>
      <c r="N847" t="s">
        <v>42</v>
      </c>
      <c r="O847" t="s">
        <v>2606</v>
      </c>
      <c r="P847" t="s">
        <v>50</v>
      </c>
      <c r="Q847">
        <v>9</v>
      </c>
      <c r="R847">
        <v>3616.23</v>
      </c>
      <c r="S847" s="6">
        <v>0.25</v>
      </c>
      <c r="T847" s="6">
        <f t="shared" si="120"/>
        <v>0.25</v>
      </c>
      <c r="U847">
        <v>24409.55</v>
      </c>
      <c r="V847">
        <f t="shared" si="121"/>
        <v>24409.552499999998</v>
      </c>
      <c r="W847" s="6">
        <f t="shared" si="122"/>
        <v>2.4999999986903276E-3</v>
      </c>
      <c r="X847">
        <v>17157.580000000002</v>
      </c>
      <c r="Y847">
        <v>7251.97</v>
      </c>
      <c r="Z847">
        <f t="shared" si="123"/>
        <v>7251.9724999999962</v>
      </c>
      <c r="AA847" s="6">
        <f t="shared" si="124"/>
        <v>2.4999999959618435E-3</v>
      </c>
      <c r="AB847">
        <f t="shared" si="125"/>
        <v>0.29709567596538267</v>
      </c>
      <c r="AC847" t="s">
        <v>111</v>
      </c>
      <c r="AD847" t="s">
        <v>103</v>
      </c>
      <c r="AE847" t="s">
        <v>2827</v>
      </c>
      <c r="AF847" t="s">
        <v>2814</v>
      </c>
    </row>
    <row r="848" spans="1:32">
      <c r="A848" t="s">
        <v>2607</v>
      </c>
      <c r="B848" s="3">
        <v>45396</v>
      </c>
      <c r="C848" t="str">
        <f t="shared" si="118"/>
        <v>April</v>
      </c>
      <c r="D848">
        <f t="shared" si="119"/>
        <v>2024</v>
      </c>
      <c r="E848" s="3">
        <v>45404</v>
      </c>
      <c r="F848">
        <f t="shared" si="117"/>
        <v>8</v>
      </c>
      <c r="G848" t="s">
        <v>2608</v>
      </c>
      <c r="H848" t="s">
        <v>114</v>
      </c>
      <c r="I848" t="s">
        <v>37</v>
      </c>
      <c r="J848" t="s">
        <v>63</v>
      </c>
      <c r="K848" t="s">
        <v>180</v>
      </c>
      <c r="L848" t="s">
        <v>181</v>
      </c>
      <c r="M848" t="s">
        <v>41</v>
      </c>
      <c r="N848" t="s">
        <v>158</v>
      </c>
      <c r="O848" t="s">
        <v>2609</v>
      </c>
      <c r="P848" t="s">
        <v>59</v>
      </c>
      <c r="Q848">
        <v>2</v>
      </c>
      <c r="R848">
        <v>3977.52</v>
      </c>
      <c r="S848" s="6">
        <v>0</v>
      </c>
      <c r="T848" s="6">
        <f t="shared" si="120"/>
        <v>0</v>
      </c>
      <c r="U848">
        <v>7955.04</v>
      </c>
      <c r="V848">
        <f t="shared" si="121"/>
        <v>7955.04</v>
      </c>
      <c r="W848" s="6">
        <f t="shared" si="122"/>
        <v>0</v>
      </c>
      <c r="X848">
        <v>5580.68</v>
      </c>
      <c r="Y848">
        <v>2374.36</v>
      </c>
      <c r="Z848">
        <f t="shared" si="123"/>
        <v>2374.3599999999997</v>
      </c>
      <c r="AA848" s="6">
        <f t="shared" si="124"/>
        <v>0</v>
      </c>
      <c r="AB848">
        <f t="shared" si="125"/>
        <v>0.29847241497214339</v>
      </c>
      <c r="AC848" t="s">
        <v>111</v>
      </c>
      <c r="AD848" t="s">
        <v>103</v>
      </c>
      <c r="AE848" t="s">
        <v>2827</v>
      </c>
      <c r="AF848" t="s">
        <v>2814</v>
      </c>
    </row>
    <row r="849" spans="1:32">
      <c r="A849" t="s">
        <v>2610</v>
      </c>
      <c r="B849" s="3">
        <v>45797</v>
      </c>
      <c r="C849" t="str">
        <f t="shared" si="118"/>
        <v>May</v>
      </c>
      <c r="D849">
        <f t="shared" si="119"/>
        <v>2025</v>
      </c>
      <c r="E849" s="3">
        <v>45799</v>
      </c>
      <c r="F849">
        <f t="shared" si="117"/>
        <v>2</v>
      </c>
      <c r="G849" t="s">
        <v>2611</v>
      </c>
      <c r="H849" t="s">
        <v>162</v>
      </c>
      <c r="I849" t="s">
        <v>95</v>
      </c>
      <c r="J849" t="s">
        <v>38</v>
      </c>
      <c r="K849" t="s">
        <v>39</v>
      </c>
      <c r="L849" t="s">
        <v>40</v>
      </c>
      <c r="M849" t="s">
        <v>41</v>
      </c>
      <c r="N849" t="s">
        <v>42</v>
      </c>
      <c r="O849" t="s">
        <v>2612</v>
      </c>
      <c r="P849" t="s">
        <v>31</v>
      </c>
      <c r="Q849">
        <v>2</v>
      </c>
      <c r="R849">
        <v>210.08</v>
      </c>
      <c r="S849" s="6">
        <v>0.2</v>
      </c>
      <c r="T849" s="6">
        <f t="shared" si="120"/>
        <v>0.2</v>
      </c>
      <c r="U849">
        <v>336.13</v>
      </c>
      <c r="V849">
        <f t="shared" si="121"/>
        <v>336.12800000000004</v>
      </c>
      <c r="W849" s="6">
        <f t="shared" si="122"/>
        <v>-1.9999999999527063E-3</v>
      </c>
      <c r="X849">
        <v>242.19</v>
      </c>
      <c r="Y849">
        <v>93.94</v>
      </c>
      <c r="Z849">
        <f t="shared" si="123"/>
        <v>93.938000000000045</v>
      </c>
      <c r="AA849" s="6">
        <f t="shared" si="124"/>
        <v>-1.9999999999527063E-3</v>
      </c>
      <c r="AB849">
        <f t="shared" si="125"/>
        <v>0.27947091584158423</v>
      </c>
      <c r="AC849" t="s">
        <v>32</v>
      </c>
      <c r="AD849" t="s">
        <v>33</v>
      </c>
      <c r="AE849" t="s">
        <v>2828</v>
      </c>
    </row>
    <row r="850" spans="1:32">
      <c r="A850" t="s">
        <v>2613</v>
      </c>
      <c r="B850" s="3">
        <v>45804</v>
      </c>
      <c r="C850" t="str">
        <f t="shared" si="118"/>
        <v>May</v>
      </c>
      <c r="D850">
        <f t="shared" si="119"/>
        <v>2025</v>
      </c>
      <c r="E850" s="3">
        <v>45806</v>
      </c>
      <c r="F850">
        <f t="shared" si="117"/>
        <v>2</v>
      </c>
      <c r="G850" t="s">
        <v>2614</v>
      </c>
      <c r="H850" t="s">
        <v>118</v>
      </c>
      <c r="I850" t="s">
        <v>95</v>
      </c>
      <c r="J850" t="s">
        <v>54</v>
      </c>
      <c r="K850" t="s">
        <v>247</v>
      </c>
      <c r="L850" t="s">
        <v>248</v>
      </c>
      <c r="M850" t="s">
        <v>41</v>
      </c>
      <c r="N850" t="s">
        <v>57</v>
      </c>
      <c r="O850" t="s">
        <v>2615</v>
      </c>
      <c r="P850" t="s">
        <v>31</v>
      </c>
      <c r="Q850">
        <v>1</v>
      </c>
      <c r="R850">
        <v>1744.35</v>
      </c>
      <c r="S850" s="6">
        <v>0.25</v>
      </c>
      <c r="T850" s="6">
        <f t="shared" si="120"/>
        <v>0.25</v>
      </c>
      <c r="U850">
        <v>1308.26</v>
      </c>
      <c r="V850">
        <f t="shared" si="121"/>
        <v>1308.2624999999998</v>
      </c>
      <c r="W850" s="6">
        <f t="shared" si="122"/>
        <v>2.499999999827196E-3</v>
      </c>
      <c r="X850">
        <v>1083.56</v>
      </c>
      <c r="Y850">
        <v>224.7</v>
      </c>
      <c r="Z850">
        <f t="shared" si="123"/>
        <v>224.70249999999987</v>
      </c>
      <c r="AA850" s="6">
        <f t="shared" si="124"/>
        <v>2.4999999998840394E-3</v>
      </c>
      <c r="AB850">
        <f t="shared" si="125"/>
        <v>0.17175643267310645</v>
      </c>
      <c r="AC850" t="s">
        <v>32</v>
      </c>
      <c r="AD850" t="s">
        <v>33</v>
      </c>
      <c r="AE850" t="s">
        <v>2828</v>
      </c>
    </row>
    <row r="851" spans="1:32">
      <c r="A851" t="s">
        <v>2616</v>
      </c>
      <c r="B851" s="3">
        <v>45446</v>
      </c>
      <c r="C851" t="str">
        <f t="shared" si="118"/>
        <v>June</v>
      </c>
      <c r="D851">
        <f t="shared" si="119"/>
        <v>2024</v>
      </c>
      <c r="E851" s="3">
        <v>45629</v>
      </c>
      <c r="F851">
        <f t="shared" si="117"/>
        <v>183</v>
      </c>
      <c r="G851" t="s">
        <v>2617</v>
      </c>
      <c r="H851" t="s">
        <v>47</v>
      </c>
      <c r="I851" t="s">
        <v>95</v>
      </c>
      <c r="J851" t="s">
        <v>63</v>
      </c>
      <c r="K851" t="s">
        <v>180</v>
      </c>
      <c r="L851" t="s">
        <v>181</v>
      </c>
      <c r="M851" t="s">
        <v>41</v>
      </c>
      <c r="N851" t="s">
        <v>158</v>
      </c>
      <c r="O851" t="s">
        <v>2618</v>
      </c>
      <c r="P851" t="s">
        <v>59</v>
      </c>
      <c r="Q851">
        <v>3</v>
      </c>
      <c r="R851">
        <v>679.63</v>
      </c>
      <c r="S851" s="6">
        <v>0.2</v>
      </c>
      <c r="T851" s="6">
        <f t="shared" si="120"/>
        <v>0.2</v>
      </c>
      <c r="U851">
        <v>1631.11</v>
      </c>
      <c r="V851">
        <f t="shared" si="121"/>
        <v>1631.1120000000001</v>
      </c>
      <c r="W851" s="6">
        <f t="shared" si="122"/>
        <v>2.00000000018008E-3</v>
      </c>
      <c r="X851">
        <v>898.73</v>
      </c>
      <c r="Y851">
        <v>396.58</v>
      </c>
      <c r="Z851">
        <f t="shared" si="123"/>
        <v>732.38200000000006</v>
      </c>
      <c r="AA851" s="6">
        <f t="shared" si="124"/>
        <v>335.80200000000008</v>
      </c>
      <c r="AB851">
        <f t="shared" si="125"/>
        <v>0.44900779345624336</v>
      </c>
      <c r="AC851" t="s">
        <v>32</v>
      </c>
      <c r="AD851" t="s">
        <v>33</v>
      </c>
      <c r="AE851" t="s">
        <v>2828</v>
      </c>
    </row>
    <row r="852" spans="1:32">
      <c r="A852" t="s">
        <v>2619</v>
      </c>
      <c r="B852" s="3">
        <v>45473</v>
      </c>
      <c r="C852" t="str">
        <f t="shared" si="118"/>
        <v>June</v>
      </c>
      <c r="D852">
        <f t="shared" si="119"/>
        <v>2024</v>
      </c>
      <c r="E852" s="3">
        <v>45358</v>
      </c>
      <c r="F852">
        <f t="shared" si="117"/>
        <v>-115</v>
      </c>
      <c r="G852" t="s">
        <v>2620</v>
      </c>
      <c r="H852" t="s">
        <v>114</v>
      </c>
      <c r="I852" t="s">
        <v>95</v>
      </c>
      <c r="J852" t="s">
        <v>38</v>
      </c>
      <c r="K852" t="s">
        <v>99</v>
      </c>
      <c r="L852" t="s">
        <v>100</v>
      </c>
      <c r="M852" t="s">
        <v>28</v>
      </c>
      <c r="N852" t="s">
        <v>29</v>
      </c>
      <c r="O852" t="s">
        <v>2621</v>
      </c>
      <c r="P852" t="s">
        <v>50</v>
      </c>
      <c r="Q852">
        <v>6</v>
      </c>
      <c r="R852">
        <v>1211.01</v>
      </c>
      <c r="S852" s="6">
        <v>0</v>
      </c>
      <c r="T852" s="6">
        <f t="shared" si="120"/>
        <v>0</v>
      </c>
      <c r="U852">
        <v>7266.06</v>
      </c>
      <c r="V852">
        <f t="shared" si="121"/>
        <v>7266.0599999999995</v>
      </c>
      <c r="W852" s="6">
        <f t="shared" si="122"/>
        <v>0</v>
      </c>
      <c r="X852">
        <v>6216.89</v>
      </c>
      <c r="Y852">
        <v>1049.17</v>
      </c>
      <c r="Z852">
        <f t="shared" si="123"/>
        <v>1049.1699999999992</v>
      </c>
      <c r="AA852" s="6">
        <f t="shared" si="124"/>
        <v>0</v>
      </c>
      <c r="AB852">
        <f t="shared" si="125"/>
        <v>0.14439324750965438</v>
      </c>
      <c r="AC852" t="s">
        <v>32</v>
      </c>
      <c r="AD852" t="s">
        <v>33</v>
      </c>
      <c r="AE852" t="s">
        <v>2826</v>
      </c>
      <c r="AF852" s="10" t="s">
        <v>2790</v>
      </c>
    </row>
    <row r="853" spans="1:32">
      <c r="A853" t="s">
        <v>2622</v>
      </c>
      <c r="B853" s="3">
        <v>45377</v>
      </c>
      <c r="C853" t="str">
        <f t="shared" si="118"/>
        <v>March</v>
      </c>
      <c r="D853">
        <f t="shared" si="119"/>
        <v>2024</v>
      </c>
      <c r="E853" s="3">
        <v>45295</v>
      </c>
      <c r="F853">
        <f t="shared" si="117"/>
        <v>-82</v>
      </c>
      <c r="G853" t="s">
        <v>2623</v>
      </c>
      <c r="H853" t="s">
        <v>23</v>
      </c>
      <c r="I853" t="s">
        <v>37</v>
      </c>
      <c r="J853" t="s">
        <v>63</v>
      </c>
      <c r="K853" t="s">
        <v>180</v>
      </c>
      <c r="L853" t="s">
        <v>181</v>
      </c>
      <c r="M853" t="s">
        <v>74</v>
      </c>
      <c r="N853" t="s">
        <v>75</v>
      </c>
      <c r="O853" t="s">
        <v>2624</v>
      </c>
      <c r="P853" t="s">
        <v>50</v>
      </c>
      <c r="Q853">
        <v>2</v>
      </c>
      <c r="R853">
        <v>1161.3</v>
      </c>
      <c r="S853" s="6">
        <v>0.2</v>
      </c>
      <c r="T853" s="6">
        <f t="shared" si="120"/>
        <v>0.2</v>
      </c>
      <c r="U853">
        <v>1858.08</v>
      </c>
      <c r="V853">
        <f t="shared" si="121"/>
        <v>1858.08</v>
      </c>
      <c r="W853" s="6">
        <f t="shared" si="122"/>
        <v>0</v>
      </c>
      <c r="X853">
        <v>1590.75</v>
      </c>
      <c r="Y853">
        <v>267.33</v>
      </c>
      <c r="Z853">
        <f t="shared" si="123"/>
        <v>267.32999999999993</v>
      </c>
      <c r="AA853" s="6">
        <f t="shared" si="124"/>
        <v>0</v>
      </c>
      <c r="AB853">
        <f t="shared" si="125"/>
        <v>0.14387432188065097</v>
      </c>
      <c r="AC853" t="s">
        <v>32</v>
      </c>
      <c r="AD853" t="s">
        <v>33</v>
      </c>
      <c r="AE853" t="s">
        <v>2826</v>
      </c>
      <c r="AF853" s="10" t="s">
        <v>2790</v>
      </c>
    </row>
    <row r="854" spans="1:32">
      <c r="A854" t="s">
        <v>2625</v>
      </c>
      <c r="B854" s="3">
        <v>45295</v>
      </c>
      <c r="C854" t="str">
        <f t="shared" si="118"/>
        <v>January</v>
      </c>
      <c r="D854">
        <f t="shared" si="119"/>
        <v>2024</v>
      </c>
      <c r="E854" s="3">
        <v>45508</v>
      </c>
      <c r="F854">
        <f t="shared" si="117"/>
        <v>213</v>
      </c>
      <c r="G854" t="s">
        <v>2626</v>
      </c>
      <c r="H854" t="s">
        <v>62</v>
      </c>
      <c r="I854" t="s">
        <v>24</v>
      </c>
      <c r="J854" t="s">
        <v>38</v>
      </c>
      <c r="K854" t="s">
        <v>166</v>
      </c>
      <c r="L854" t="s">
        <v>167</v>
      </c>
      <c r="M854" t="s">
        <v>41</v>
      </c>
      <c r="N854" t="s">
        <v>42</v>
      </c>
      <c r="O854" t="s">
        <v>2627</v>
      </c>
      <c r="P854" t="s">
        <v>31</v>
      </c>
      <c r="Q854">
        <v>7</v>
      </c>
      <c r="R854">
        <v>4205.3500000000004</v>
      </c>
      <c r="S854" s="6">
        <v>0.15</v>
      </c>
      <c r="T854" s="6">
        <f t="shared" si="120"/>
        <v>0.15</v>
      </c>
      <c r="U854">
        <v>25021.83</v>
      </c>
      <c r="V854">
        <f t="shared" si="121"/>
        <v>25021.832500000004</v>
      </c>
      <c r="W854" s="6">
        <f t="shared" si="122"/>
        <v>2.5000000023283064E-3</v>
      </c>
      <c r="X854">
        <v>15544.44</v>
      </c>
      <c r="Y854">
        <v>9477.39</v>
      </c>
      <c r="Z854">
        <f t="shared" si="123"/>
        <v>9477.3925000000036</v>
      </c>
      <c r="AA854" s="6">
        <f t="shared" si="124"/>
        <v>2.5000000041472958E-3</v>
      </c>
      <c r="AB854">
        <f t="shared" si="125"/>
        <v>0.37876492459135447</v>
      </c>
      <c r="AC854" t="s">
        <v>111</v>
      </c>
      <c r="AD854" t="s">
        <v>68</v>
      </c>
      <c r="AE854" t="s">
        <v>2827</v>
      </c>
      <c r="AF854" t="s">
        <v>2804</v>
      </c>
    </row>
    <row r="855" spans="1:32">
      <c r="A855" t="s">
        <v>2628</v>
      </c>
      <c r="B855" s="3">
        <v>45793</v>
      </c>
      <c r="C855" t="str">
        <f t="shared" si="118"/>
        <v>May</v>
      </c>
      <c r="D855">
        <f t="shared" si="119"/>
        <v>2025</v>
      </c>
      <c r="E855" s="3">
        <v>45799</v>
      </c>
      <c r="F855">
        <f t="shared" si="117"/>
        <v>6</v>
      </c>
      <c r="G855" t="s">
        <v>2629</v>
      </c>
      <c r="H855" t="s">
        <v>53</v>
      </c>
      <c r="I855" t="s">
        <v>90</v>
      </c>
      <c r="J855" t="s">
        <v>54</v>
      </c>
      <c r="K855" t="s">
        <v>247</v>
      </c>
      <c r="L855" t="s">
        <v>248</v>
      </c>
      <c r="M855" t="s">
        <v>74</v>
      </c>
      <c r="N855" t="s">
        <v>75</v>
      </c>
      <c r="O855" t="s">
        <v>2630</v>
      </c>
      <c r="P855" t="s">
        <v>44</v>
      </c>
      <c r="Q855">
        <v>8</v>
      </c>
      <c r="R855">
        <v>579.79999999999995</v>
      </c>
      <c r="S855" s="6">
        <v>0.2</v>
      </c>
      <c r="T855" s="6">
        <f t="shared" si="120"/>
        <v>0.2</v>
      </c>
      <c r="U855">
        <v>3710.72</v>
      </c>
      <c r="V855">
        <f t="shared" si="121"/>
        <v>3710.72</v>
      </c>
      <c r="W855" s="6">
        <f t="shared" si="122"/>
        <v>0</v>
      </c>
      <c r="X855">
        <v>3115.29</v>
      </c>
      <c r="Y855">
        <v>595.42999999999995</v>
      </c>
      <c r="Z855">
        <f t="shared" si="123"/>
        <v>595.42999999999984</v>
      </c>
      <c r="AA855" s="6">
        <f t="shared" si="124"/>
        <v>0</v>
      </c>
      <c r="AB855">
        <f t="shared" si="125"/>
        <v>0.16046212055881334</v>
      </c>
      <c r="AC855" t="s">
        <v>32</v>
      </c>
      <c r="AD855" t="s">
        <v>33</v>
      </c>
      <c r="AE855" t="s">
        <v>2828</v>
      </c>
    </row>
    <row r="856" spans="1:32">
      <c r="A856" t="s">
        <v>2631</v>
      </c>
      <c r="B856" s="3">
        <v>45741</v>
      </c>
      <c r="C856" t="str">
        <f t="shared" si="118"/>
        <v>March</v>
      </c>
      <c r="D856">
        <f t="shared" si="119"/>
        <v>2025</v>
      </c>
      <c r="E856" s="3">
        <v>45749</v>
      </c>
      <c r="F856">
        <f t="shared" si="117"/>
        <v>8</v>
      </c>
      <c r="G856" t="s">
        <v>2632</v>
      </c>
      <c r="H856" t="s">
        <v>114</v>
      </c>
      <c r="I856" t="s">
        <v>24</v>
      </c>
      <c r="J856" t="s">
        <v>54</v>
      </c>
      <c r="K856" t="s">
        <v>175</v>
      </c>
      <c r="L856" t="s">
        <v>176</v>
      </c>
      <c r="M856" t="s">
        <v>41</v>
      </c>
      <c r="N856" t="s">
        <v>158</v>
      </c>
      <c r="O856" t="s">
        <v>2633</v>
      </c>
      <c r="P856" t="s">
        <v>31</v>
      </c>
      <c r="Q856">
        <v>4</v>
      </c>
      <c r="R856">
        <v>2233.64</v>
      </c>
      <c r="S856" s="6">
        <v>0.05</v>
      </c>
      <c r="T856" s="6">
        <f t="shared" si="120"/>
        <v>0.05</v>
      </c>
      <c r="U856">
        <v>8487.83</v>
      </c>
      <c r="V856">
        <f t="shared" si="121"/>
        <v>8487.8319999999985</v>
      </c>
      <c r="W856" s="6">
        <f t="shared" si="122"/>
        <v>1.9999999985884642E-3</v>
      </c>
      <c r="X856">
        <v>5245.72</v>
      </c>
      <c r="Y856">
        <v>3242.11</v>
      </c>
      <c r="Z856">
        <f t="shared" si="123"/>
        <v>3242.1119999999983</v>
      </c>
      <c r="AA856" s="6">
        <f t="shared" si="124"/>
        <v>1.9999999981337169E-3</v>
      </c>
      <c r="AB856">
        <f t="shared" si="125"/>
        <v>0.38197174496384928</v>
      </c>
      <c r="AC856" t="s">
        <v>32</v>
      </c>
      <c r="AD856" t="s">
        <v>33</v>
      </c>
      <c r="AE856" t="s">
        <v>2828</v>
      </c>
    </row>
    <row r="857" spans="1:32">
      <c r="A857" t="s">
        <v>2634</v>
      </c>
      <c r="B857" s="3">
        <v>45498</v>
      </c>
      <c r="C857" t="str">
        <f t="shared" si="118"/>
        <v>July</v>
      </c>
      <c r="D857">
        <f t="shared" si="119"/>
        <v>2024</v>
      </c>
      <c r="E857" s="3">
        <v>45330</v>
      </c>
      <c r="F857">
        <f t="shared" si="117"/>
        <v>-168</v>
      </c>
      <c r="G857" t="s">
        <v>1120</v>
      </c>
      <c r="H857" t="s">
        <v>118</v>
      </c>
      <c r="I857" t="s">
        <v>24</v>
      </c>
      <c r="J857" t="s">
        <v>25</v>
      </c>
      <c r="K857" t="s">
        <v>26</v>
      </c>
      <c r="L857" t="s">
        <v>27</v>
      </c>
      <c r="M857" t="s">
        <v>28</v>
      </c>
      <c r="N857" t="s">
        <v>91</v>
      </c>
      <c r="O857" t="s">
        <v>2635</v>
      </c>
      <c r="P857" t="s">
        <v>31</v>
      </c>
      <c r="Q857">
        <v>2</v>
      </c>
      <c r="R857">
        <v>2073.5300000000002</v>
      </c>
      <c r="S857" s="6">
        <v>0.25</v>
      </c>
      <c r="T857" s="6">
        <f t="shared" si="120"/>
        <v>0.25</v>
      </c>
      <c r="U857">
        <v>3110.3</v>
      </c>
      <c r="V857">
        <f t="shared" si="121"/>
        <v>3110.2950000000001</v>
      </c>
      <c r="W857" s="6">
        <f t="shared" si="122"/>
        <v>-5.0000000001091394E-3</v>
      </c>
      <c r="X857">
        <v>2101.0300000000002</v>
      </c>
      <c r="Y857">
        <v>1009.27</v>
      </c>
      <c r="Z857">
        <f t="shared" si="123"/>
        <v>1009.2649999999999</v>
      </c>
      <c r="AA857" s="6">
        <f t="shared" si="124"/>
        <v>-5.0000000001091394E-3</v>
      </c>
      <c r="AB857">
        <f t="shared" si="125"/>
        <v>0.32449172827657824</v>
      </c>
      <c r="AC857" t="s">
        <v>32</v>
      </c>
      <c r="AD857" t="s">
        <v>33</v>
      </c>
      <c r="AE857" t="s">
        <v>2826</v>
      </c>
      <c r="AF857" s="10" t="s">
        <v>2790</v>
      </c>
    </row>
    <row r="858" spans="1:32">
      <c r="A858" t="s">
        <v>2636</v>
      </c>
      <c r="B858" s="3">
        <v>45632</v>
      </c>
      <c r="C858" t="str">
        <f t="shared" si="118"/>
        <v>December</v>
      </c>
      <c r="D858">
        <f t="shared" si="119"/>
        <v>2024</v>
      </c>
      <c r="E858" s="3">
        <v>45462</v>
      </c>
      <c r="F858">
        <f t="shared" si="117"/>
        <v>-170</v>
      </c>
      <c r="G858" t="s">
        <v>1298</v>
      </c>
      <c r="H858" t="s">
        <v>141</v>
      </c>
      <c r="I858" t="s">
        <v>95</v>
      </c>
      <c r="J858" t="s">
        <v>54</v>
      </c>
      <c r="K858" t="s">
        <v>247</v>
      </c>
      <c r="L858" t="s">
        <v>248</v>
      </c>
      <c r="M858" t="s">
        <v>28</v>
      </c>
      <c r="N858" t="s">
        <v>124</v>
      </c>
      <c r="O858" t="s">
        <v>2637</v>
      </c>
      <c r="P858" t="s">
        <v>59</v>
      </c>
      <c r="Q858">
        <v>4</v>
      </c>
      <c r="R858">
        <v>395.1</v>
      </c>
      <c r="S858" s="6">
        <v>-0.16</v>
      </c>
      <c r="T858" s="6">
        <f t="shared" si="120"/>
        <v>0.16</v>
      </c>
      <c r="U858">
        <v>1185.3</v>
      </c>
      <c r="V858">
        <f t="shared" si="121"/>
        <v>1327.5360000000001</v>
      </c>
      <c r="W858" s="6">
        <f t="shared" si="122"/>
        <v>142.2360000000001</v>
      </c>
      <c r="X858">
        <v>966.55</v>
      </c>
      <c r="Y858">
        <v>218.75</v>
      </c>
      <c r="Z858">
        <f t="shared" si="123"/>
        <v>360.9860000000001</v>
      </c>
      <c r="AA858" s="6">
        <f t="shared" si="124"/>
        <v>142.2360000000001</v>
      </c>
      <c r="AB858">
        <f t="shared" si="125"/>
        <v>0.27192181605621246</v>
      </c>
      <c r="AC858" t="s">
        <v>155</v>
      </c>
      <c r="AD858" t="s">
        <v>68</v>
      </c>
      <c r="AE858" t="s">
        <v>2826</v>
      </c>
      <c r="AF858" s="10" t="s">
        <v>2799</v>
      </c>
    </row>
    <row r="859" spans="1:32">
      <c r="A859" t="s">
        <v>2638</v>
      </c>
      <c r="B859" s="3">
        <v>45388</v>
      </c>
      <c r="C859" t="str">
        <f t="shared" si="118"/>
        <v>April</v>
      </c>
      <c r="D859">
        <f t="shared" si="119"/>
        <v>2024</v>
      </c>
      <c r="E859" s="3">
        <v>45388</v>
      </c>
      <c r="F859">
        <f t="shared" si="117"/>
        <v>0</v>
      </c>
      <c r="G859" t="s">
        <v>2145</v>
      </c>
      <c r="H859" t="s">
        <v>132</v>
      </c>
      <c r="I859" t="s">
        <v>95</v>
      </c>
      <c r="J859" t="s">
        <v>54</v>
      </c>
      <c r="K859" t="s">
        <v>185</v>
      </c>
      <c r="L859" t="s">
        <v>186</v>
      </c>
      <c r="M859" t="s">
        <v>28</v>
      </c>
      <c r="N859" t="s">
        <v>124</v>
      </c>
      <c r="O859" t="s">
        <v>2639</v>
      </c>
      <c r="P859" t="s">
        <v>50</v>
      </c>
      <c r="Q859">
        <v>6</v>
      </c>
      <c r="R859">
        <v>2708.97</v>
      </c>
      <c r="S859" s="6">
        <v>0.25</v>
      </c>
      <c r="T859" s="6">
        <f t="shared" si="120"/>
        <v>0.25</v>
      </c>
      <c r="U859">
        <v>12190.36</v>
      </c>
      <c r="V859">
        <f t="shared" si="121"/>
        <v>12190.365</v>
      </c>
      <c r="W859" s="6">
        <f t="shared" si="122"/>
        <v>4.9999999991996447E-3</v>
      </c>
      <c r="X859">
        <v>10176.99</v>
      </c>
      <c r="Y859">
        <v>2013.37</v>
      </c>
      <c r="Z859">
        <f t="shared" si="123"/>
        <v>2013.375</v>
      </c>
      <c r="AA859" s="6">
        <f t="shared" si="124"/>
        <v>5.0000000001091394E-3</v>
      </c>
      <c r="AB859">
        <f t="shared" si="125"/>
        <v>0.16516117441930575</v>
      </c>
      <c r="AC859" t="s">
        <v>32</v>
      </c>
      <c r="AD859" t="s">
        <v>33</v>
      </c>
      <c r="AE859" t="s">
        <v>2828</v>
      </c>
    </row>
    <row r="860" spans="1:32">
      <c r="A860" t="s">
        <v>2640</v>
      </c>
      <c r="B860" s="3">
        <v>45414</v>
      </c>
      <c r="C860" t="str">
        <f t="shared" si="118"/>
        <v>May</v>
      </c>
      <c r="D860">
        <f t="shared" si="119"/>
        <v>2024</v>
      </c>
      <c r="E860" s="3">
        <v>45540</v>
      </c>
      <c r="F860">
        <f t="shared" si="117"/>
        <v>126</v>
      </c>
      <c r="G860" t="s">
        <v>2641</v>
      </c>
      <c r="H860" t="s">
        <v>53</v>
      </c>
      <c r="I860" t="s">
        <v>24</v>
      </c>
      <c r="J860" t="s">
        <v>38</v>
      </c>
      <c r="K860" t="s">
        <v>39</v>
      </c>
      <c r="L860" t="s">
        <v>40</v>
      </c>
      <c r="M860" t="s">
        <v>74</v>
      </c>
      <c r="N860" t="s">
        <v>75</v>
      </c>
      <c r="O860" t="s">
        <v>2642</v>
      </c>
      <c r="P860" t="s">
        <v>31</v>
      </c>
      <c r="Q860">
        <v>4</v>
      </c>
      <c r="R860">
        <v>2904.86</v>
      </c>
      <c r="S860" s="6">
        <v>0</v>
      </c>
      <c r="T860" s="6">
        <f t="shared" si="120"/>
        <v>0</v>
      </c>
      <c r="U860">
        <v>11619.44</v>
      </c>
      <c r="V860">
        <f t="shared" si="121"/>
        <v>11619.44</v>
      </c>
      <c r="W860" s="6">
        <f t="shared" si="122"/>
        <v>0</v>
      </c>
      <c r="X860">
        <v>7184.32</v>
      </c>
      <c r="Y860">
        <v>4494.6400000000003</v>
      </c>
      <c r="Z860">
        <f t="shared" si="123"/>
        <v>4435.1200000000008</v>
      </c>
      <c r="AA860" s="6">
        <f t="shared" si="124"/>
        <v>-59.519999999999527</v>
      </c>
      <c r="AB860">
        <f t="shared" si="125"/>
        <v>0.3816982574031107</v>
      </c>
      <c r="AC860" t="s">
        <v>32</v>
      </c>
      <c r="AD860" t="s">
        <v>33</v>
      </c>
      <c r="AE860" t="s">
        <v>2828</v>
      </c>
    </row>
    <row r="861" spans="1:32">
      <c r="A861" t="s">
        <v>2643</v>
      </c>
      <c r="B861" s="3">
        <v>45592</v>
      </c>
      <c r="C861" t="str">
        <f t="shared" si="118"/>
        <v>October</v>
      </c>
      <c r="D861">
        <f t="shared" si="119"/>
        <v>2024</v>
      </c>
      <c r="E861" s="3">
        <v>45302</v>
      </c>
      <c r="F861">
        <f t="shared" si="117"/>
        <v>-290</v>
      </c>
      <c r="G861" t="s">
        <v>2644</v>
      </c>
      <c r="H861" t="s">
        <v>89</v>
      </c>
      <c r="I861" t="s">
        <v>90</v>
      </c>
      <c r="J861" t="s">
        <v>54</v>
      </c>
      <c r="K861" t="s">
        <v>247</v>
      </c>
      <c r="L861" t="s">
        <v>248</v>
      </c>
      <c r="M861" t="s">
        <v>74</v>
      </c>
      <c r="N861" t="s">
        <v>171</v>
      </c>
      <c r="O861" t="s">
        <v>2645</v>
      </c>
      <c r="P861" t="s">
        <v>59</v>
      </c>
      <c r="Q861">
        <v>6</v>
      </c>
      <c r="R861">
        <v>4399.2</v>
      </c>
      <c r="S861" s="6">
        <v>0.05</v>
      </c>
      <c r="T861" s="6">
        <f t="shared" si="120"/>
        <v>0.05</v>
      </c>
      <c r="U861">
        <v>25075.439999999999</v>
      </c>
      <c r="V861">
        <f t="shared" si="121"/>
        <v>25075.439999999995</v>
      </c>
      <c r="W861" s="6">
        <f t="shared" si="122"/>
        <v>0</v>
      </c>
      <c r="X861">
        <v>16282.74</v>
      </c>
      <c r="Y861">
        <v>8792.7000000000007</v>
      </c>
      <c r="Z861">
        <f t="shared" si="123"/>
        <v>8792.6999999999953</v>
      </c>
      <c r="AA861" s="6">
        <f t="shared" si="124"/>
        <v>0</v>
      </c>
      <c r="AB861">
        <f t="shared" si="125"/>
        <v>0.35064987892535471</v>
      </c>
      <c r="AC861" t="s">
        <v>32</v>
      </c>
      <c r="AD861" t="s">
        <v>33</v>
      </c>
      <c r="AE861" t="s">
        <v>2826</v>
      </c>
      <c r="AF861" s="10" t="s">
        <v>2790</v>
      </c>
    </row>
    <row r="862" spans="1:32">
      <c r="A862" t="s">
        <v>2646</v>
      </c>
      <c r="B862" s="3">
        <v>45324</v>
      </c>
      <c r="C862" t="str">
        <f t="shared" si="118"/>
        <v>February</v>
      </c>
      <c r="D862">
        <f t="shared" si="119"/>
        <v>2024</v>
      </c>
      <c r="E862" s="3">
        <v>45384</v>
      </c>
      <c r="F862">
        <f t="shared" si="117"/>
        <v>60</v>
      </c>
      <c r="G862" t="s">
        <v>2647</v>
      </c>
      <c r="H862" t="s">
        <v>71</v>
      </c>
      <c r="I862" t="s">
        <v>95</v>
      </c>
      <c r="J862" t="s">
        <v>25</v>
      </c>
      <c r="K862" t="s">
        <v>136</v>
      </c>
      <c r="L862" t="s">
        <v>137</v>
      </c>
      <c r="M862" t="s">
        <v>28</v>
      </c>
      <c r="N862" t="s">
        <v>124</v>
      </c>
      <c r="O862" t="s">
        <v>2648</v>
      </c>
      <c r="P862" t="s">
        <v>31</v>
      </c>
      <c r="Q862">
        <v>1</v>
      </c>
      <c r="R862">
        <v>4397.32</v>
      </c>
      <c r="S862" s="6">
        <v>0.05</v>
      </c>
      <c r="T862" s="6">
        <f t="shared" si="120"/>
        <v>0.05</v>
      </c>
      <c r="U862">
        <v>4177.45</v>
      </c>
      <c r="V862">
        <f t="shared" si="121"/>
        <v>4177.4539999999997</v>
      </c>
      <c r="W862" s="6">
        <f t="shared" si="122"/>
        <v>3.9999999999054126E-3</v>
      </c>
      <c r="X862">
        <v>2299.5</v>
      </c>
      <c r="Y862">
        <v>1877.95</v>
      </c>
      <c r="Z862">
        <f t="shared" si="123"/>
        <v>1877.9539999999997</v>
      </c>
      <c r="AA862" s="6">
        <f t="shared" si="124"/>
        <v>3.9999999996780389E-3</v>
      </c>
      <c r="AB862">
        <f t="shared" si="125"/>
        <v>0.44954510570313877</v>
      </c>
      <c r="AC862" t="s">
        <v>32</v>
      </c>
      <c r="AD862" t="s">
        <v>33</v>
      </c>
      <c r="AE862" t="s">
        <v>2828</v>
      </c>
    </row>
    <row r="863" spans="1:32">
      <c r="A863" t="s">
        <v>2649</v>
      </c>
      <c r="B863" s="3">
        <v>45872</v>
      </c>
      <c r="C863" t="str">
        <f t="shared" si="118"/>
        <v>August</v>
      </c>
      <c r="D863">
        <f t="shared" si="119"/>
        <v>2025</v>
      </c>
      <c r="E863" s="3">
        <v>45903</v>
      </c>
      <c r="F863">
        <f t="shared" si="117"/>
        <v>31</v>
      </c>
      <c r="G863" t="s">
        <v>2650</v>
      </c>
      <c r="H863" t="s">
        <v>114</v>
      </c>
      <c r="I863" t="s">
        <v>95</v>
      </c>
      <c r="J863" t="s">
        <v>25</v>
      </c>
      <c r="K863" t="s">
        <v>350</v>
      </c>
      <c r="L863" t="s">
        <v>351</v>
      </c>
      <c r="M863" t="s">
        <v>41</v>
      </c>
      <c r="N863" t="s">
        <v>57</v>
      </c>
      <c r="O863" t="s">
        <v>2651</v>
      </c>
      <c r="P863" t="s">
        <v>44</v>
      </c>
      <c r="Q863">
        <v>4</v>
      </c>
      <c r="R863">
        <v>3405.68</v>
      </c>
      <c r="S863" s="6">
        <v>0.2</v>
      </c>
      <c r="T863" s="6">
        <f t="shared" si="120"/>
        <v>0.2</v>
      </c>
      <c r="U863">
        <v>10898.18</v>
      </c>
      <c r="V863">
        <f t="shared" si="121"/>
        <v>10898.175999999999</v>
      </c>
      <c r="W863" s="6">
        <f t="shared" si="122"/>
        <v>-4.0000000008149073E-3</v>
      </c>
      <c r="X863">
        <v>6231.41</v>
      </c>
      <c r="Y863">
        <v>4666.7700000000004</v>
      </c>
      <c r="Z863">
        <f t="shared" si="123"/>
        <v>4666.7659999999996</v>
      </c>
      <c r="AA863" s="6">
        <f t="shared" si="124"/>
        <v>-4.0000000008149073E-3</v>
      </c>
      <c r="AB863">
        <f t="shared" si="125"/>
        <v>0.42821532704188298</v>
      </c>
      <c r="AC863" t="s">
        <v>32</v>
      </c>
      <c r="AD863" t="s">
        <v>33</v>
      </c>
      <c r="AE863" t="s">
        <v>2828</v>
      </c>
    </row>
    <row r="864" spans="1:32">
      <c r="A864" t="s">
        <v>2652</v>
      </c>
      <c r="B864" s="3">
        <v>45742</v>
      </c>
      <c r="C864" t="str">
        <f t="shared" si="118"/>
        <v>March</v>
      </c>
      <c r="D864">
        <f t="shared" si="119"/>
        <v>2025</v>
      </c>
      <c r="E864" s="3">
        <v>45747</v>
      </c>
      <c r="F864">
        <f t="shared" si="117"/>
        <v>5</v>
      </c>
      <c r="G864" t="s">
        <v>2653</v>
      </c>
      <c r="H864" t="s">
        <v>114</v>
      </c>
      <c r="I864" t="s">
        <v>37</v>
      </c>
      <c r="J864" t="s">
        <v>38</v>
      </c>
      <c r="K864" t="s">
        <v>228</v>
      </c>
      <c r="L864" t="s">
        <v>229</v>
      </c>
      <c r="M864" t="s">
        <v>28</v>
      </c>
      <c r="N864" t="s">
        <v>153</v>
      </c>
      <c r="O864" t="s">
        <v>2654</v>
      </c>
      <c r="P864" t="s">
        <v>50</v>
      </c>
      <c r="Q864">
        <v>5</v>
      </c>
      <c r="R864">
        <v>1395.14</v>
      </c>
      <c r="S864" s="6">
        <v>0</v>
      </c>
      <c r="T864" s="6">
        <f t="shared" si="120"/>
        <v>0</v>
      </c>
      <c r="U864">
        <v>6975.7</v>
      </c>
      <c r="V864">
        <f t="shared" si="121"/>
        <v>6975.7000000000007</v>
      </c>
      <c r="W864" s="6">
        <f t="shared" si="122"/>
        <v>0</v>
      </c>
      <c r="X864">
        <v>4797.88</v>
      </c>
      <c r="Y864">
        <v>2177.8200000000002</v>
      </c>
      <c r="Z864">
        <f t="shared" si="123"/>
        <v>2177.8200000000006</v>
      </c>
      <c r="AA864" s="6">
        <f t="shared" si="124"/>
        <v>0</v>
      </c>
      <c r="AB864">
        <f t="shared" si="125"/>
        <v>0.3122009260719355</v>
      </c>
      <c r="AC864" t="s">
        <v>32</v>
      </c>
      <c r="AD864" t="s">
        <v>68</v>
      </c>
      <c r="AE864" t="s">
        <v>2827</v>
      </c>
      <c r="AF864" t="s">
        <v>2795</v>
      </c>
    </row>
    <row r="865" spans="1:32">
      <c r="A865" t="s">
        <v>2655</v>
      </c>
      <c r="B865" s="3">
        <v>45906</v>
      </c>
      <c r="C865" t="str">
        <f t="shared" si="118"/>
        <v>September</v>
      </c>
      <c r="D865">
        <f t="shared" si="119"/>
        <v>2025</v>
      </c>
      <c r="E865" s="3">
        <v>45908</v>
      </c>
      <c r="F865">
        <f t="shared" si="117"/>
        <v>2</v>
      </c>
      <c r="G865" t="s">
        <v>2656</v>
      </c>
      <c r="H865" t="s">
        <v>128</v>
      </c>
      <c r="I865" t="s">
        <v>95</v>
      </c>
      <c r="J865" t="s">
        <v>63</v>
      </c>
      <c r="K865" t="s">
        <v>72</v>
      </c>
      <c r="L865" t="s">
        <v>73</v>
      </c>
      <c r="M865" t="s">
        <v>41</v>
      </c>
      <c r="N865" t="s">
        <v>57</v>
      </c>
      <c r="O865" t="s">
        <v>2657</v>
      </c>
      <c r="P865" t="s">
        <v>44</v>
      </c>
      <c r="Q865">
        <v>3</v>
      </c>
      <c r="R865">
        <v>2937.23</v>
      </c>
      <c r="S865" s="6">
        <v>0</v>
      </c>
      <c r="T865" s="6">
        <f t="shared" si="120"/>
        <v>0</v>
      </c>
      <c r="U865">
        <v>8811.69</v>
      </c>
      <c r="V865">
        <f t="shared" si="121"/>
        <v>8811.69</v>
      </c>
      <c r="W865" s="6">
        <f t="shared" si="122"/>
        <v>0</v>
      </c>
      <c r="X865">
        <v>6765.91</v>
      </c>
      <c r="Y865">
        <v>2045.78</v>
      </c>
      <c r="Z865">
        <f t="shared" si="123"/>
        <v>2045.7800000000007</v>
      </c>
      <c r="AA865" s="6">
        <f t="shared" si="124"/>
        <v>0</v>
      </c>
      <c r="AB865">
        <f t="shared" si="125"/>
        <v>0.23216658779416893</v>
      </c>
      <c r="AC865" t="s">
        <v>32</v>
      </c>
      <c r="AD865" t="s">
        <v>33</v>
      </c>
      <c r="AE865" t="s">
        <v>2828</v>
      </c>
    </row>
    <row r="866" spans="1:32">
      <c r="A866" t="s">
        <v>2658</v>
      </c>
      <c r="B866" s="3">
        <v>45697</v>
      </c>
      <c r="C866" t="str">
        <f t="shared" si="118"/>
        <v>February</v>
      </c>
      <c r="D866">
        <f t="shared" si="119"/>
        <v>2025</v>
      </c>
      <c r="E866" s="3">
        <v>45786</v>
      </c>
      <c r="F866">
        <f t="shared" si="117"/>
        <v>89</v>
      </c>
      <c r="G866" t="s">
        <v>2659</v>
      </c>
      <c r="H866" t="s">
        <v>71</v>
      </c>
      <c r="I866" t="s">
        <v>24</v>
      </c>
      <c r="J866" t="s">
        <v>54</v>
      </c>
      <c r="K866" t="s">
        <v>247</v>
      </c>
      <c r="L866" t="s">
        <v>248</v>
      </c>
      <c r="M866" t="s">
        <v>74</v>
      </c>
      <c r="N866" t="s">
        <v>171</v>
      </c>
      <c r="O866" t="s">
        <v>2660</v>
      </c>
      <c r="P866" t="s">
        <v>50</v>
      </c>
      <c r="Q866">
        <v>5</v>
      </c>
      <c r="R866">
        <v>3406.87</v>
      </c>
      <c r="S866" s="6">
        <v>0</v>
      </c>
      <c r="T866" s="6">
        <f t="shared" si="120"/>
        <v>0</v>
      </c>
      <c r="U866">
        <v>17034.349999999999</v>
      </c>
      <c r="V866">
        <f t="shared" si="121"/>
        <v>17034.349999999999</v>
      </c>
      <c r="W866" s="6">
        <f t="shared" si="122"/>
        <v>0</v>
      </c>
      <c r="X866">
        <v>14631.36</v>
      </c>
      <c r="Y866">
        <v>2402.9899999999998</v>
      </c>
      <c r="Z866">
        <f t="shared" si="123"/>
        <v>2402.989999999998</v>
      </c>
      <c r="AA866" s="6">
        <f t="shared" si="124"/>
        <v>0</v>
      </c>
      <c r="AB866">
        <f t="shared" si="125"/>
        <v>0.14106731398615141</v>
      </c>
      <c r="AC866" t="s">
        <v>32</v>
      </c>
      <c r="AD866" t="s">
        <v>33</v>
      </c>
      <c r="AE866" t="s">
        <v>2828</v>
      </c>
    </row>
    <row r="867" spans="1:32">
      <c r="A867" t="s">
        <v>2661</v>
      </c>
      <c r="B867" s="3">
        <v>45810</v>
      </c>
      <c r="C867" t="str">
        <f t="shared" si="118"/>
        <v>June</v>
      </c>
      <c r="D867">
        <f t="shared" si="119"/>
        <v>2025</v>
      </c>
      <c r="E867" s="3">
        <v>45702</v>
      </c>
      <c r="F867">
        <f t="shared" si="117"/>
        <v>-108</v>
      </c>
      <c r="G867" t="s">
        <v>2662</v>
      </c>
      <c r="H867" t="s">
        <v>264</v>
      </c>
      <c r="I867" t="s">
        <v>24</v>
      </c>
      <c r="J867" t="s">
        <v>63</v>
      </c>
      <c r="K867" t="s">
        <v>64</v>
      </c>
      <c r="L867" t="s">
        <v>65</v>
      </c>
      <c r="M867" t="s">
        <v>28</v>
      </c>
      <c r="N867" t="s">
        <v>91</v>
      </c>
      <c r="O867" t="s">
        <v>2663</v>
      </c>
      <c r="P867" t="s">
        <v>31</v>
      </c>
      <c r="Q867">
        <v>2</v>
      </c>
      <c r="R867">
        <v>3992.04</v>
      </c>
      <c r="S867" s="6">
        <v>0</v>
      </c>
      <c r="T867" s="6">
        <f t="shared" si="120"/>
        <v>0</v>
      </c>
      <c r="U867">
        <v>7984.08</v>
      </c>
      <c r="V867">
        <f t="shared" si="121"/>
        <v>7984.08</v>
      </c>
      <c r="W867" s="6">
        <f t="shared" si="122"/>
        <v>0</v>
      </c>
      <c r="X867">
        <v>5658.05</v>
      </c>
      <c r="Y867">
        <v>2326.0300000000002</v>
      </c>
      <c r="Z867">
        <f t="shared" si="123"/>
        <v>2326.0299999999997</v>
      </c>
      <c r="AA867" s="6">
        <f t="shared" si="124"/>
        <v>0</v>
      </c>
      <c r="AB867">
        <f t="shared" si="125"/>
        <v>0.29133350367230787</v>
      </c>
      <c r="AC867" t="s">
        <v>32</v>
      </c>
      <c r="AD867" t="s">
        <v>33</v>
      </c>
      <c r="AE867" t="s">
        <v>2826</v>
      </c>
      <c r="AF867" s="10" t="s">
        <v>2790</v>
      </c>
    </row>
    <row r="868" spans="1:32">
      <c r="A868" t="s">
        <v>2664</v>
      </c>
      <c r="B868" s="3">
        <v>45714</v>
      </c>
      <c r="C868" t="str">
        <f t="shared" si="118"/>
        <v>February</v>
      </c>
      <c r="D868">
        <f t="shared" si="119"/>
        <v>2025</v>
      </c>
      <c r="E868" s="3">
        <v>45811</v>
      </c>
      <c r="F868">
        <f t="shared" si="117"/>
        <v>97</v>
      </c>
      <c r="G868" t="s">
        <v>2665</v>
      </c>
      <c r="H868" t="s">
        <v>114</v>
      </c>
      <c r="I868" t="s">
        <v>24</v>
      </c>
      <c r="J868" t="s">
        <v>38</v>
      </c>
      <c r="K868" t="s">
        <v>145</v>
      </c>
      <c r="L868" t="s">
        <v>146</v>
      </c>
      <c r="M868" t="s">
        <v>41</v>
      </c>
      <c r="N868" t="s">
        <v>158</v>
      </c>
      <c r="O868" t="s">
        <v>2666</v>
      </c>
      <c r="P868" t="s">
        <v>50</v>
      </c>
      <c r="Q868">
        <v>9</v>
      </c>
      <c r="R868">
        <v>3043.37</v>
      </c>
      <c r="S868" s="6">
        <v>0.2</v>
      </c>
      <c r="T868" s="6">
        <f t="shared" si="120"/>
        <v>0.2</v>
      </c>
      <c r="U868">
        <v>21912.26</v>
      </c>
      <c r="V868">
        <f t="shared" si="121"/>
        <v>21912.263999999999</v>
      </c>
      <c r="W868" s="6">
        <f t="shared" si="122"/>
        <v>4.0000000008149073E-3</v>
      </c>
      <c r="X868">
        <v>16367.78</v>
      </c>
      <c r="Y868">
        <v>5544.48</v>
      </c>
      <c r="Z868">
        <f t="shared" si="123"/>
        <v>5544.4839999999986</v>
      </c>
      <c r="AA868" s="6">
        <f t="shared" si="124"/>
        <v>3.9999999989959178E-3</v>
      </c>
      <c r="AB868">
        <f t="shared" si="125"/>
        <v>0.25303108797885965</v>
      </c>
      <c r="AC868" t="s">
        <v>111</v>
      </c>
      <c r="AD868" t="s">
        <v>68</v>
      </c>
      <c r="AE868" t="s">
        <v>2827</v>
      </c>
      <c r="AF868" t="s">
        <v>2804</v>
      </c>
    </row>
    <row r="869" spans="1:32">
      <c r="A869" t="s">
        <v>2667</v>
      </c>
      <c r="B869" s="3">
        <v>45617</v>
      </c>
      <c r="C869" t="str">
        <f t="shared" si="118"/>
        <v>November</v>
      </c>
      <c r="D869">
        <f t="shared" si="119"/>
        <v>2024</v>
      </c>
      <c r="E869" s="3">
        <v>45618</v>
      </c>
      <c r="F869">
        <f t="shared" si="117"/>
        <v>1</v>
      </c>
      <c r="G869" t="s">
        <v>2668</v>
      </c>
      <c r="H869" t="s">
        <v>118</v>
      </c>
      <c r="I869" t="s">
        <v>95</v>
      </c>
      <c r="J869" t="s">
        <v>54</v>
      </c>
      <c r="K869" t="s">
        <v>84</v>
      </c>
      <c r="L869" t="s">
        <v>85</v>
      </c>
      <c r="M869" t="s">
        <v>74</v>
      </c>
      <c r="N869" t="s">
        <v>75</v>
      </c>
      <c r="O869" t="s">
        <v>2669</v>
      </c>
      <c r="P869" t="s">
        <v>44</v>
      </c>
      <c r="Q869">
        <v>6</v>
      </c>
      <c r="R869">
        <v>1043.49</v>
      </c>
      <c r="S869" s="6">
        <v>0.25</v>
      </c>
      <c r="T869" s="6">
        <f t="shared" si="120"/>
        <v>0.25</v>
      </c>
      <c r="U869">
        <v>4695.7</v>
      </c>
      <c r="V869">
        <f t="shared" si="121"/>
        <v>4695.7049999999999</v>
      </c>
      <c r="W869" s="6">
        <f t="shared" si="122"/>
        <v>5.0000000001091394E-3</v>
      </c>
      <c r="X869">
        <v>3871.69</v>
      </c>
      <c r="Y869">
        <v>824.01</v>
      </c>
      <c r="Z869">
        <f t="shared" si="123"/>
        <v>824.01499999999987</v>
      </c>
      <c r="AA869" s="6">
        <f t="shared" si="124"/>
        <v>4.9999999998817657E-3</v>
      </c>
      <c r="AB869">
        <f t="shared" si="125"/>
        <v>0.17548270174553127</v>
      </c>
      <c r="AC869" t="s">
        <v>155</v>
      </c>
      <c r="AD869" t="s">
        <v>68</v>
      </c>
      <c r="AE869" t="s">
        <v>2827</v>
      </c>
      <c r="AF869" s="10" t="s">
        <v>2796</v>
      </c>
    </row>
    <row r="870" spans="1:32">
      <c r="A870" t="s">
        <v>2670</v>
      </c>
      <c r="B870" s="3">
        <v>45965</v>
      </c>
      <c r="C870" t="str">
        <f t="shared" si="118"/>
        <v>November</v>
      </c>
      <c r="D870">
        <f t="shared" si="119"/>
        <v>2025</v>
      </c>
      <c r="E870" s="3">
        <v>45762</v>
      </c>
      <c r="F870">
        <f t="shared" si="117"/>
        <v>-203</v>
      </c>
      <c r="G870" t="s">
        <v>2671</v>
      </c>
      <c r="H870" t="s">
        <v>71</v>
      </c>
      <c r="I870" t="s">
        <v>95</v>
      </c>
      <c r="J870" t="s">
        <v>54</v>
      </c>
      <c r="K870" t="s">
        <v>175</v>
      </c>
      <c r="L870" t="s">
        <v>176</v>
      </c>
      <c r="M870" t="s">
        <v>28</v>
      </c>
      <c r="N870" t="s">
        <v>124</v>
      </c>
      <c r="O870" t="s">
        <v>2672</v>
      </c>
      <c r="P870" t="s">
        <v>44</v>
      </c>
      <c r="Q870">
        <v>9</v>
      </c>
      <c r="R870">
        <v>224.94</v>
      </c>
      <c r="S870" s="6">
        <v>0.05</v>
      </c>
      <c r="T870" s="6">
        <f t="shared" si="120"/>
        <v>0.05</v>
      </c>
      <c r="U870">
        <v>1923.24</v>
      </c>
      <c r="V870">
        <f t="shared" si="121"/>
        <v>1923.2369999999999</v>
      </c>
      <c r="W870" s="6">
        <f t="shared" si="122"/>
        <v>-3.0000000001564331E-3</v>
      </c>
      <c r="X870">
        <v>1093.6600000000001</v>
      </c>
      <c r="Y870">
        <v>829.58</v>
      </c>
      <c r="Z870">
        <f t="shared" si="123"/>
        <v>829.57699999999977</v>
      </c>
      <c r="AA870" s="6">
        <f t="shared" si="124"/>
        <v>-3.0000000002701199E-3</v>
      </c>
      <c r="AB870">
        <f t="shared" si="125"/>
        <v>0.43134413491420964</v>
      </c>
      <c r="AC870" t="s">
        <v>32</v>
      </c>
      <c r="AD870" t="s">
        <v>33</v>
      </c>
      <c r="AE870" t="s">
        <v>2826</v>
      </c>
      <c r="AF870" s="10" t="s">
        <v>2790</v>
      </c>
    </row>
    <row r="871" spans="1:32">
      <c r="A871" t="s">
        <v>2673</v>
      </c>
      <c r="B871" s="3">
        <v>45722</v>
      </c>
      <c r="C871" t="str">
        <f t="shared" si="118"/>
        <v>March</v>
      </c>
      <c r="D871">
        <f t="shared" si="119"/>
        <v>2025</v>
      </c>
      <c r="E871" s="3">
        <v>45841</v>
      </c>
      <c r="F871">
        <f t="shared" si="117"/>
        <v>119</v>
      </c>
      <c r="G871" t="s">
        <v>2674</v>
      </c>
      <c r="H871" t="s">
        <v>141</v>
      </c>
      <c r="I871" t="s">
        <v>95</v>
      </c>
      <c r="J871" t="s">
        <v>2781</v>
      </c>
      <c r="K871" t="s">
        <v>350</v>
      </c>
      <c r="L871" t="s">
        <v>351</v>
      </c>
      <c r="M871" t="s">
        <v>41</v>
      </c>
      <c r="N871" t="s">
        <v>66</v>
      </c>
      <c r="O871" t="s">
        <v>1145</v>
      </c>
      <c r="P871" t="s">
        <v>44</v>
      </c>
      <c r="Q871">
        <v>6</v>
      </c>
      <c r="R871">
        <v>796.65</v>
      </c>
      <c r="S871" s="6">
        <v>0.1</v>
      </c>
      <c r="T871" s="6">
        <f t="shared" si="120"/>
        <v>0.1</v>
      </c>
      <c r="U871">
        <v>4301.91</v>
      </c>
      <c r="V871">
        <f t="shared" si="121"/>
        <v>4301.91</v>
      </c>
      <c r="W871" s="6">
        <f t="shared" si="122"/>
        <v>0</v>
      </c>
      <c r="X871">
        <v>2374.4</v>
      </c>
      <c r="Y871">
        <v>1927.51</v>
      </c>
      <c r="Z871">
        <f t="shared" si="123"/>
        <v>1927.5099999999998</v>
      </c>
      <c r="AA871" s="6">
        <f t="shared" si="124"/>
        <v>0</v>
      </c>
      <c r="AB871">
        <f t="shared" si="125"/>
        <v>0.44805911792668834</v>
      </c>
      <c r="AC871" t="s">
        <v>32</v>
      </c>
      <c r="AD871" t="s">
        <v>33</v>
      </c>
      <c r="AE871" t="s">
        <v>2828</v>
      </c>
    </row>
    <row r="872" spans="1:32">
      <c r="A872" t="s">
        <v>2675</v>
      </c>
      <c r="B872" s="3">
        <v>45814</v>
      </c>
      <c r="C872" t="str">
        <f t="shared" si="118"/>
        <v>June</v>
      </c>
      <c r="D872">
        <f t="shared" si="119"/>
        <v>2025</v>
      </c>
      <c r="E872" s="3">
        <v>45844</v>
      </c>
      <c r="F872">
        <f t="shared" si="117"/>
        <v>30</v>
      </c>
      <c r="G872" t="s">
        <v>2676</v>
      </c>
      <c r="H872" t="s">
        <v>71</v>
      </c>
      <c r="I872" t="s">
        <v>90</v>
      </c>
      <c r="J872" t="s">
        <v>63</v>
      </c>
      <c r="K872" t="s">
        <v>190</v>
      </c>
      <c r="L872" t="s">
        <v>191</v>
      </c>
      <c r="M872" t="s">
        <v>41</v>
      </c>
      <c r="N872" t="s">
        <v>42</v>
      </c>
      <c r="O872" t="s">
        <v>2677</v>
      </c>
      <c r="P872" t="s">
        <v>59</v>
      </c>
      <c r="Q872">
        <v>9</v>
      </c>
      <c r="R872">
        <v>2932.92</v>
      </c>
      <c r="S872" s="6">
        <v>0.15</v>
      </c>
      <c r="T872" s="6">
        <f t="shared" si="120"/>
        <v>0.15</v>
      </c>
      <c r="U872">
        <v>22436.84</v>
      </c>
      <c r="V872">
        <f t="shared" si="121"/>
        <v>22436.838</v>
      </c>
      <c r="W872" s="6">
        <f t="shared" si="122"/>
        <v>-2.0000000004074536E-3</v>
      </c>
      <c r="X872">
        <v>17454.669999999998</v>
      </c>
      <c r="Y872">
        <v>4982.17</v>
      </c>
      <c r="Z872">
        <f t="shared" si="123"/>
        <v>4982.1680000000015</v>
      </c>
      <c r="AA872" s="6">
        <f t="shared" si="124"/>
        <v>-1.9999999985884642E-3</v>
      </c>
      <c r="AB872">
        <f t="shared" si="125"/>
        <v>0.22205303617203109</v>
      </c>
      <c r="AC872" t="s">
        <v>32</v>
      </c>
      <c r="AD872" t="s">
        <v>68</v>
      </c>
      <c r="AE872" t="s">
        <v>2827</v>
      </c>
      <c r="AF872" t="s">
        <v>2795</v>
      </c>
    </row>
    <row r="873" spans="1:32">
      <c r="A873" t="s">
        <v>2678</v>
      </c>
      <c r="B873" s="3">
        <v>45342</v>
      </c>
      <c r="C873" t="str">
        <f t="shared" si="118"/>
        <v>February</v>
      </c>
      <c r="D873">
        <f t="shared" si="119"/>
        <v>2024</v>
      </c>
      <c r="E873" s="3">
        <v>45344</v>
      </c>
      <c r="F873">
        <f t="shared" si="117"/>
        <v>2</v>
      </c>
      <c r="G873" t="s">
        <v>2549</v>
      </c>
      <c r="H873" t="s">
        <v>79</v>
      </c>
      <c r="I873" t="s">
        <v>37</v>
      </c>
      <c r="J873" t="s">
        <v>54</v>
      </c>
      <c r="K873" t="s">
        <v>55</v>
      </c>
      <c r="L873" t="s">
        <v>56</v>
      </c>
      <c r="M873" t="s">
        <v>74</v>
      </c>
      <c r="N873" t="s">
        <v>75</v>
      </c>
      <c r="O873" t="s">
        <v>2679</v>
      </c>
      <c r="P873" t="s">
        <v>50</v>
      </c>
      <c r="Q873">
        <v>9</v>
      </c>
      <c r="R873">
        <v>2186.23</v>
      </c>
      <c r="S873" s="6">
        <v>0</v>
      </c>
      <c r="T873" s="6">
        <f t="shared" si="120"/>
        <v>0</v>
      </c>
      <c r="U873">
        <v>19676.07</v>
      </c>
      <c r="V873">
        <f t="shared" si="121"/>
        <v>19676.07</v>
      </c>
      <c r="W873" s="6">
        <f t="shared" si="122"/>
        <v>0</v>
      </c>
      <c r="X873">
        <v>12458.62</v>
      </c>
      <c r="Y873">
        <v>7217.45</v>
      </c>
      <c r="Z873">
        <f t="shared" si="123"/>
        <v>7217.4499999999989</v>
      </c>
      <c r="AA873" s="6">
        <f t="shared" si="124"/>
        <v>0</v>
      </c>
      <c r="AB873">
        <f t="shared" si="125"/>
        <v>0.36681359641432454</v>
      </c>
      <c r="AC873" t="s">
        <v>102</v>
      </c>
      <c r="AD873" t="s">
        <v>68</v>
      </c>
      <c r="AE873" t="s">
        <v>2827</v>
      </c>
      <c r="AF873" t="s">
        <v>2808</v>
      </c>
    </row>
    <row r="874" spans="1:32">
      <c r="A874" t="s">
        <v>2680</v>
      </c>
      <c r="B874" s="3">
        <v>45597</v>
      </c>
      <c r="C874" t="str">
        <f t="shared" si="118"/>
        <v>November</v>
      </c>
      <c r="D874">
        <f t="shared" si="119"/>
        <v>2024</v>
      </c>
      <c r="E874" s="3">
        <v>45333</v>
      </c>
      <c r="F874">
        <f t="shared" si="117"/>
        <v>-264</v>
      </c>
      <c r="G874" t="s">
        <v>1958</v>
      </c>
      <c r="H874" t="s">
        <v>23</v>
      </c>
      <c r="I874" t="s">
        <v>90</v>
      </c>
      <c r="J874" t="s">
        <v>38</v>
      </c>
      <c r="K874" t="s">
        <v>99</v>
      </c>
      <c r="L874" t="s">
        <v>100</v>
      </c>
      <c r="M874" t="s">
        <v>41</v>
      </c>
      <c r="N874" t="s">
        <v>57</v>
      </c>
      <c r="O874" t="s">
        <v>2681</v>
      </c>
      <c r="P874" t="s">
        <v>59</v>
      </c>
      <c r="Q874">
        <v>5</v>
      </c>
      <c r="R874">
        <v>2212.02</v>
      </c>
      <c r="S874" s="6">
        <v>0.2</v>
      </c>
      <c r="T874" s="6">
        <f t="shared" si="120"/>
        <v>0.2</v>
      </c>
      <c r="U874">
        <v>8848.08</v>
      </c>
      <c r="V874">
        <f t="shared" si="121"/>
        <v>8848.08</v>
      </c>
      <c r="W874" s="6">
        <f t="shared" si="122"/>
        <v>0</v>
      </c>
      <c r="X874">
        <v>5691.56</v>
      </c>
      <c r="Y874">
        <v>3156.52</v>
      </c>
      <c r="Z874">
        <f t="shared" si="123"/>
        <v>3156.5199999999995</v>
      </c>
      <c r="AA874" s="6">
        <f t="shared" si="124"/>
        <v>0</v>
      </c>
      <c r="AB874">
        <f t="shared" si="125"/>
        <v>0.35674632236598219</v>
      </c>
      <c r="AC874" t="s">
        <v>32</v>
      </c>
      <c r="AD874" t="s">
        <v>33</v>
      </c>
      <c r="AE874" t="s">
        <v>2826</v>
      </c>
      <c r="AF874" s="10" t="s">
        <v>2790</v>
      </c>
    </row>
    <row r="875" spans="1:32">
      <c r="A875" t="s">
        <v>2682</v>
      </c>
      <c r="B875" s="3">
        <v>45659</v>
      </c>
      <c r="C875" t="str">
        <f t="shared" si="118"/>
        <v>January</v>
      </c>
      <c r="D875">
        <f t="shared" si="119"/>
        <v>2025</v>
      </c>
      <c r="E875" s="3">
        <v>45871</v>
      </c>
      <c r="F875">
        <f t="shared" si="117"/>
        <v>212</v>
      </c>
      <c r="G875" t="s">
        <v>2683</v>
      </c>
      <c r="H875" t="s">
        <v>89</v>
      </c>
      <c r="I875" t="s">
        <v>95</v>
      </c>
      <c r="J875" t="s">
        <v>63</v>
      </c>
      <c r="K875" t="s">
        <v>180</v>
      </c>
      <c r="L875" t="s">
        <v>181</v>
      </c>
      <c r="M875" t="s">
        <v>28</v>
      </c>
      <c r="N875" t="s">
        <v>124</v>
      </c>
      <c r="O875" t="s">
        <v>2684</v>
      </c>
      <c r="P875" t="s">
        <v>31</v>
      </c>
      <c r="Q875">
        <v>8</v>
      </c>
      <c r="R875">
        <v>623.30999999999995</v>
      </c>
      <c r="S875" s="6">
        <v>0.1</v>
      </c>
      <c r="T875" s="6">
        <f t="shared" si="120"/>
        <v>0.1</v>
      </c>
      <c r="U875">
        <v>4487.83</v>
      </c>
      <c r="V875">
        <f t="shared" si="121"/>
        <v>4487.8319999999994</v>
      </c>
      <c r="W875" s="6">
        <f t="shared" si="122"/>
        <v>1.9999999994979589E-3</v>
      </c>
      <c r="X875">
        <v>2633.78</v>
      </c>
      <c r="Y875">
        <v>1854.05</v>
      </c>
      <c r="Z875">
        <f t="shared" si="123"/>
        <v>1854.0519999999992</v>
      </c>
      <c r="AA875" s="6">
        <f t="shared" si="124"/>
        <v>1.9999999992705852E-3</v>
      </c>
      <c r="AB875">
        <f t="shared" si="125"/>
        <v>0.41312865543986482</v>
      </c>
      <c r="AC875" t="s">
        <v>32</v>
      </c>
      <c r="AD875" t="s">
        <v>33</v>
      </c>
      <c r="AE875" t="s">
        <v>2828</v>
      </c>
    </row>
    <row r="876" spans="1:32">
      <c r="A876" t="s">
        <v>2685</v>
      </c>
      <c r="B876" s="3">
        <v>45853</v>
      </c>
      <c r="C876" t="str">
        <f t="shared" si="118"/>
        <v>July</v>
      </c>
      <c r="D876">
        <f t="shared" si="119"/>
        <v>2025</v>
      </c>
      <c r="E876" s="3">
        <v>45854</v>
      </c>
      <c r="F876">
        <f t="shared" si="117"/>
        <v>1</v>
      </c>
      <c r="G876" t="s">
        <v>2686</v>
      </c>
      <c r="H876" t="s">
        <v>71</v>
      </c>
      <c r="I876" t="s">
        <v>37</v>
      </c>
      <c r="J876" t="s">
        <v>63</v>
      </c>
      <c r="K876" t="s">
        <v>64</v>
      </c>
      <c r="L876" t="s">
        <v>65</v>
      </c>
      <c r="M876" t="s">
        <v>28</v>
      </c>
      <c r="N876" t="s">
        <v>29</v>
      </c>
      <c r="O876" t="s">
        <v>2687</v>
      </c>
      <c r="P876" t="s">
        <v>59</v>
      </c>
      <c r="Q876">
        <v>8</v>
      </c>
      <c r="R876">
        <v>3924.88</v>
      </c>
      <c r="S876" s="6">
        <v>0.05</v>
      </c>
      <c r="T876" s="6">
        <f t="shared" si="120"/>
        <v>0.05</v>
      </c>
      <c r="U876">
        <v>29829.09</v>
      </c>
      <c r="V876">
        <f t="shared" si="121"/>
        <v>29829.088</v>
      </c>
      <c r="W876" s="6">
        <f t="shared" si="122"/>
        <v>-2.0000000004074536E-3</v>
      </c>
      <c r="X876">
        <v>20710.18</v>
      </c>
      <c r="Y876">
        <v>9118.91</v>
      </c>
      <c r="Z876">
        <f t="shared" si="123"/>
        <v>9118.9079999999994</v>
      </c>
      <c r="AA876" s="6">
        <f t="shared" si="124"/>
        <v>-2.0000000004074536E-3</v>
      </c>
      <c r="AB876">
        <f t="shared" si="125"/>
        <v>0.30570522303598419</v>
      </c>
      <c r="AC876" t="s">
        <v>32</v>
      </c>
      <c r="AD876" t="s">
        <v>33</v>
      </c>
      <c r="AE876" t="s">
        <v>2828</v>
      </c>
    </row>
    <row r="877" spans="1:32">
      <c r="A877" t="s">
        <v>2688</v>
      </c>
      <c r="B877" s="3">
        <v>45573</v>
      </c>
      <c r="C877" t="str">
        <f t="shared" si="118"/>
        <v>October</v>
      </c>
      <c r="D877">
        <f t="shared" si="119"/>
        <v>2024</v>
      </c>
      <c r="E877" s="3">
        <v>45515</v>
      </c>
      <c r="F877">
        <f t="shared" si="117"/>
        <v>-58</v>
      </c>
      <c r="G877" t="s">
        <v>2689</v>
      </c>
      <c r="H877" t="s">
        <v>36</v>
      </c>
      <c r="I877" t="s">
        <v>90</v>
      </c>
      <c r="J877" t="s">
        <v>63</v>
      </c>
      <c r="K877" t="s">
        <v>64</v>
      </c>
      <c r="L877" t="s">
        <v>65</v>
      </c>
      <c r="M877" t="s">
        <v>74</v>
      </c>
      <c r="N877" t="s">
        <v>80</v>
      </c>
      <c r="O877" t="s">
        <v>2690</v>
      </c>
      <c r="P877" t="s">
        <v>50</v>
      </c>
      <c r="Q877">
        <v>7</v>
      </c>
      <c r="R877">
        <v>3852.62</v>
      </c>
      <c r="S877" s="6">
        <v>0.2</v>
      </c>
      <c r="T877" s="6">
        <f t="shared" si="120"/>
        <v>0.2</v>
      </c>
      <c r="U877">
        <v>21574.67</v>
      </c>
      <c r="V877">
        <f t="shared" si="121"/>
        <v>21574.672000000002</v>
      </c>
      <c r="W877" s="6">
        <f t="shared" si="122"/>
        <v>2.0000000040454324E-3</v>
      </c>
      <c r="X877">
        <v>14672.83</v>
      </c>
      <c r="Y877">
        <v>6901.84</v>
      </c>
      <c r="Z877">
        <f t="shared" si="123"/>
        <v>6901.8420000000024</v>
      </c>
      <c r="AA877" s="6">
        <f t="shared" si="124"/>
        <v>2.000000002226443E-3</v>
      </c>
      <c r="AB877">
        <f t="shared" si="125"/>
        <v>0.31990484026825539</v>
      </c>
      <c r="AC877" t="s">
        <v>32</v>
      </c>
      <c r="AD877" t="s">
        <v>33</v>
      </c>
      <c r="AE877" t="s">
        <v>2826</v>
      </c>
      <c r="AF877" s="10" t="s">
        <v>2790</v>
      </c>
    </row>
    <row r="878" spans="1:32">
      <c r="A878" t="s">
        <v>2691</v>
      </c>
      <c r="B878" s="3">
        <v>45614</v>
      </c>
      <c r="C878" t="str">
        <f t="shared" si="118"/>
        <v>November</v>
      </c>
      <c r="D878">
        <f t="shared" si="119"/>
        <v>2024</v>
      </c>
      <c r="E878" s="3">
        <v>45616</v>
      </c>
      <c r="F878">
        <f t="shared" si="117"/>
        <v>2</v>
      </c>
      <c r="G878" t="s">
        <v>2692</v>
      </c>
      <c r="H878" t="s">
        <v>114</v>
      </c>
      <c r="I878" t="s">
        <v>24</v>
      </c>
      <c r="J878" t="s">
        <v>63</v>
      </c>
      <c r="K878" t="s">
        <v>26</v>
      </c>
      <c r="L878" t="s">
        <v>109</v>
      </c>
      <c r="M878" t="s">
        <v>41</v>
      </c>
      <c r="N878" t="s">
        <v>66</v>
      </c>
      <c r="O878" t="s">
        <v>843</v>
      </c>
      <c r="P878" t="s">
        <v>50</v>
      </c>
      <c r="Q878">
        <v>6</v>
      </c>
      <c r="R878">
        <v>3790.22</v>
      </c>
      <c r="S878" s="6">
        <v>0</v>
      </c>
      <c r="T878" s="6">
        <f t="shared" si="120"/>
        <v>0</v>
      </c>
      <c r="U878">
        <v>22741.32</v>
      </c>
      <c r="V878">
        <f t="shared" si="121"/>
        <v>22741.32</v>
      </c>
      <c r="W878" s="6">
        <f t="shared" si="122"/>
        <v>0</v>
      </c>
      <c r="X878">
        <v>16388.57</v>
      </c>
      <c r="Y878">
        <v>6352.75</v>
      </c>
      <c r="Z878">
        <f t="shared" si="123"/>
        <v>6352.75</v>
      </c>
      <c r="AA878" s="6">
        <f t="shared" si="124"/>
        <v>0</v>
      </c>
      <c r="AB878">
        <f t="shared" si="125"/>
        <v>0.27934834037777928</v>
      </c>
      <c r="AC878" t="s">
        <v>32</v>
      </c>
      <c r="AD878" t="s">
        <v>33</v>
      </c>
      <c r="AE878" t="s">
        <v>2828</v>
      </c>
    </row>
    <row r="879" spans="1:32">
      <c r="A879" t="s">
        <v>2693</v>
      </c>
      <c r="B879" s="3">
        <v>45895</v>
      </c>
      <c r="C879" t="str">
        <f t="shared" si="118"/>
        <v>August</v>
      </c>
      <c r="D879">
        <f t="shared" si="119"/>
        <v>2025</v>
      </c>
      <c r="E879" s="3">
        <v>45725</v>
      </c>
      <c r="F879">
        <f t="shared" si="117"/>
        <v>-170</v>
      </c>
      <c r="G879" t="s">
        <v>2694</v>
      </c>
      <c r="H879" t="s">
        <v>128</v>
      </c>
      <c r="I879" t="s">
        <v>24</v>
      </c>
      <c r="J879" t="s">
        <v>63</v>
      </c>
      <c r="K879" t="s">
        <v>26</v>
      </c>
      <c r="L879" t="s">
        <v>109</v>
      </c>
      <c r="M879" t="s">
        <v>28</v>
      </c>
      <c r="N879" t="s">
        <v>124</v>
      </c>
      <c r="O879" t="s">
        <v>2695</v>
      </c>
      <c r="P879" t="s">
        <v>31</v>
      </c>
      <c r="Q879">
        <v>6</v>
      </c>
      <c r="R879">
        <v>674.36</v>
      </c>
      <c r="S879" s="6">
        <v>0.1</v>
      </c>
      <c r="T879" s="6">
        <f t="shared" si="120"/>
        <v>0.1</v>
      </c>
      <c r="U879">
        <v>3641.54</v>
      </c>
      <c r="V879">
        <f t="shared" si="121"/>
        <v>3641.5439999999999</v>
      </c>
      <c r="W879" s="6">
        <f t="shared" si="122"/>
        <v>3.9999999999054126E-3</v>
      </c>
      <c r="X879">
        <v>2690.37</v>
      </c>
      <c r="Y879">
        <v>951.17</v>
      </c>
      <c r="Z879">
        <f t="shared" si="123"/>
        <v>951.17399999999998</v>
      </c>
      <c r="AA879" s="6">
        <f t="shared" si="124"/>
        <v>4.0000000000190994E-3</v>
      </c>
      <c r="AB879">
        <f t="shared" si="125"/>
        <v>0.26120074342092253</v>
      </c>
      <c r="AC879" t="s">
        <v>32</v>
      </c>
      <c r="AD879" t="s">
        <v>33</v>
      </c>
      <c r="AE879" t="s">
        <v>2826</v>
      </c>
      <c r="AF879" s="10" t="s">
        <v>2790</v>
      </c>
    </row>
    <row r="880" spans="1:32">
      <c r="A880" t="s">
        <v>2696</v>
      </c>
      <c r="B880" s="3">
        <v>45313</v>
      </c>
      <c r="C880" t="str">
        <f t="shared" si="118"/>
        <v>January</v>
      </c>
      <c r="D880">
        <f t="shared" si="119"/>
        <v>2024</v>
      </c>
      <c r="E880" s="3">
        <v>45313</v>
      </c>
      <c r="F880">
        <f t="shared" si="117"/>
        <v>0</v>
      </c>
      <c r="G880" t="s">
        <v>2697</v>
      </c>
      <c r="H880" t="s">
        <v>23</v>
      </c>
      <c r="I880" t="s">
        <v>90</v>
      </c>
      <c r="J880" t="s">
        <v>38</v>
      </c>
      <c r="K880" t="s">
        <v>99</v>
      </c>
      <c r="L880" t="s">
        <v>100</v>
      </c>
      <c r="M880" t="s">
        <v>28</v>
      </c>
      <c r="N880" t="s">
        <v>29</v>
      </c>
      <c r="O880" t="s">
        <v>2698</v>
      </c>
      <c r="P880" t="s">
        <v>50</v>
      </c>
      <c r="Q880">
        <v>8</v>
      </c>
      <c r="R880">
        <v>1557.21</v>
      </c>
      <c r="S880" s="6">
        <v>0.05</v>
      </c>
      <c r="T880" s="6">
        <f t="shared" si="120"/>
        <v>0.05</v>
      </c>
      <c r="U880">
        <v>11834.8</v>
      </c>
      <c r="V880">
        <f t="shared" si="121"/>
        <v>11834.796</v>
      </c>
      <c r="W880" s="6">
        <f t="shared" si="122"/>
        <v>-3.9999999989959178E-3</v>
      </c>
      <c r="X880">
        <v>9322.36</v>
      </c>
      <c r="Y880">
        <v>2512.44</v>
      </c>
      <c r="Z880">
        <f t="shared" si="123"/>
        <v>2512.4359999999997</v>
      </c>
      <c r="AA880" s="6">
        <f t="shared" si="124"/>
        <v>-4.0000000003601599E-3</v>
      </c>
      <c r="AB880">
        <f t="shared" si="125"/>
        <v>0.21229229468763125</v>
      </c>
      <c r="AC880" t="s">
        <v>32</v>
      </c>
      <c r="AD880" t="s">
        <v>33</v>
      </c>
      <c r="AE880" t="s">
        <v>2828</v>
      </c>
    </row>
    <row r="881" spans="1:32">
      <c r="A881" t="s">
        <v>2699</v>
      </c>
      <c r="B881" s="3">
        <v>45896</v>
      </c>
      <c r="C881" t="str">
        <f t="shared" si="118"/>
        <v>August</v>
      </c>
      <c r="D881">
        <f t="shared" si="119"/>
        <v>2025</v>
      </c>
      <c r="E881" s="3">
        <v>45897</v>
      </c>
      <c r="F881">
        <f t="shared" si="117"/>
        <v>1</v>
      </c>
      <c r="G881" t="s">
        <v>2700</v>
      </c>
      <c r="H881" t="s">
        <v>62</v>
      </c>
      <c r="I881" t="s">
        <v>95</v>
      </c>
      <c r="J881" t="s">
        <v>25</v>
      </c>
      <c r="K881" t="s">
        <v>136</v>
      </c>
      <c r="L881" t="s">
        <v>137</v>
      </c>
      <c r="M881" t="s">
        <v>28</v>
      </c>
      <c r="N881" t="s">
        <v>48</v>
      </c>
      <c r="O881" t="s">
        <v>2701</v>
      </c>
      <c r="P881" t="s">
        <v>59</v>
      </c>
      <c r="Q881">
        <v>6</v>
      </c>
      <c r="R881">
        <v>1182.03</v>
      </c>
      <c r="S881" s="6">
        <v>0.15</v>
      </c>
      <c r="T881" s="6">
        <f t="shared" si="120"/>
        <v>0.15</v>
      </c>
      <c r="U881">
        <v>6028.35</v>
      </c>
      <c r="V881">
        <f t="shared" si="121"/>
        <v>6028.3530000000001</v>
      </c>
      <c r="W881" s="6">
        <f t="shared" si="122"/>
        <v>2.9999999997016857E-3</v>
      </c>
      <c r="X881">
        <v>4433.63</v>
      </c>
      <c r="Y881">
        <v>1594.72</v>
      </c>
      <c r="Z881">
        <f t="shared" si="123"/>
        <v>1594.723</v>
      </c>
      <c r="AA881" s="6">
        <f t="shared" si="124"/>
        <v>2.9999999999290594E-3</v>
      </c>
      <c r="AB881">
        <f t="shared" si="125"/>
        <v>0.26453709661660491</v>
      </c>
      <c r="AC881" t="s">
        <v>32</v>
      </c>
      <c r="AD881" t="s">
        <v>33</v>
      </c>
      <c r="AE881" t="s">
        <v>2828</v>
      </c>
    </row>
    <row r="882" spans="1:32">
      <c r="A882" t="s">
        <v>2702</v>
      </c>
      <c r="B882" s="3">
        <v>45507</v>
      </c>
      <c r="C882" t="str">
        <f t="shared" si="118"/>
        <v>August</v>
      </c>
      <c r="D882">
        <f t="shared" si="119"/>
        <v>2024</v>
      </c>
      <c r="E882" s="3">
        <v>45366</v>
      </c>
      <c r="F882">
        <f t="shared" si="117"/>
        <v>-141</v>
      </c>
      <c r="G882" t="s">
        <v>2703</v>
      </c>
      <c r="H882" t="s">
        <v>128</v>
      </c>
      <c r="I882" t="s">
        <v>37</v>
      </c>
      <c r="J882" t="s">
        <v>2781</v>
      </c>
      <c r="K882" t="s">
        <v>122</v>
      </c>
      <c r="L882" t="s">
        <v>123</v>
      </c>
      <c r="M882" t="s">
        <v>41</v>
      </c>
      <c r="N882" t="s">
        <v>66</v>
      </c>
      <c r="O882" t="s">
        <v>2704</v>
      </c>
      <c r="P882" t="s">
        <v>50</v>
      </c>
      <c r="Q882">
        <v>5</v>
      </c>
      <c r="R882">
        <v>3234.77</v>
      </c>
      <c r="S882" s="6">
        <v>0</v>
      </c>
      <c r="T882" s="6">
        <f t="shared" si="120"/>
        <v>0</v>
      </c>
      <c r="U882">
        <v>16173.85</v>
      </c>
      <c r="V882">
        <f t="shared" si="121"/>
        <v>16173.85</v>
      </c>
      <c r="W882" s="6">
        <f t="shared" si="122"/>
        <v>0</v>
      </c>
      <c r="X882">
        <v>13636.34</v>
      </c>
      <c r="Y882">
        <v>2537.5100000000002</v>
      </c>
      <c r="Z882">
        <f t="shared" si="123"/>
        <v>2537.5100000000002</v>
      </c>
      <c r="AA882" s="6">
        <f t="shared" si="124"/>
        <v>0</v>
      </c>
      <c r="AB882">
        <f t="shared" si="125"/>
        <v>0.15688967067210344</v>
      </c>
      <c r="AC882" t="s">
        <v>32</v>
      </c>
      <c r="AD882" t="s">
        <v>33</v>
      </c>
      <c r="AE882" t="s">
        <v>2826</v>
      </c>
      <c r="AF882" s="10" t="s">
        <v>2790</v>
      </c>
    </row>
    <row r="883" spans="1:32">
      <c r="A883" t="s">
        <v>2705</v>
      </c>
      <c r="B883" s="3">
        <v>45303</v>
      </c>
      <c r="C883" t="str">
        <f t="shared" si="118"/>
        <v>January</v>
      </c>
      <c r="D883">
        <f t="shared" si="119"/>
        <v>2024</v>
      </c>
      <c r="E883" s="3">
        <v>45424</v>
      </c>
      <c r="F883">
        <f t="shared" si="117"/>
        <v>121</v>
      </c>
      <c r="G883" t="s">
        <v>2706</v>
      </c>
      <c r="H883" t="s">
        <v>62</v>
      </c>
      <c r="I883" t="s">
        <v>37</v>
      </c>
      <c r="J883" t="s">
        <v>54</v>
      </c>
      <c r="K883" t="s">
        <v>84</v>
      </c>
      <c r="L883" t="s">
        <v>85</v>
      </c>
      <c r="M883" t="s">
        <v>74</v>
      </c>
      <c r="N883" t="s">
        <v>80</v>
      </c>
      <c r="O883" t="s">
        <v>2707</v>
      </c>
      <c r="P883" t="s">
        <v>31</v>
      </c>
      <c r="Q883">
        <v>9</v>
      </c>
      <c r="R883">
        <v>3726.75</v>
      </c>
      <c r="S883" s="6">
        <v>0.25</v>
      </c>
      <c r="T883" s="6">
        <f t="shared" si="120"/>
        <v>0.25</v>
      </c>
      <c r="U883">
        <v>25155.56</v>
      </c>
      <c r="V883">
        <f t="shared" si="121"/>
        <v>25155.5625</v>
      </c>
      <c r="W883" s="6">
        <f t="shared" si="122"/>
        <v>2.4999999986903276E-3</v>
      </c>
      <c r="X883">
        <v>17592.689999999999</v>
      </c>
      <c r="Y883">
        <v>7562.87</v>
      </c>
      <c r="Z883">
        <f t="shared" si="123"/>
        <v>7562.8725000000013</v>
      </c>
      <c r="AA883" s="6">
        <f t="shared" si="124"/>
        <v>2.5000000014188117E-3</v>
      </c>
      <c r="AB883">
        <f t="shared" si="125"/>
        <v>0.30064414182747856</v>
      </c>
      <c r="AC883" t="s">
        <v>32</v>
      </c>
      <c r="AD883" t="s">
        <v>33</v>
      </c>
      <c r="AE883" t="s">
        <v>2828</v>
      </c>
    </row>
    <row r="884" spans="1:32">
      <c r="A884" t="s">
        <v>2708</v>
      </c>
      <c r="B884" s="3">
        <v>45690</v>
      </c>
      <c r="C884" t="str">
        <f t="shared" si="118"/>
        <v>February</v>
      </c>
      <c r="D884">
        <f t="shared" si="119"/>
        <v>2025</v>
      </c>
      <c r="E884" s="3">
        <v>45698</v>
      </c>
      <c r="F884">
        <f t="shared" si="117"/>
        <v>8</v>
      </c>
      <c r="G884" t="s">
        <v>2709</v>
      </c>
      <c r="H884" t="s">
        <v>132</v>
      </c>
      <c r="I884" t="s">
        <v>90</v>
      </c>
      <c r="J884" t="s">
        <v>38</v>
      </c>
      <c r="K884" t="s">
        <v>145</v>
      </c>
      <c r="L884" t="s">
        <v>146</v>
      </c>
      <c r="M884" t="s">
        <v>74</v>
      </c>
      <c r="N884" t="s">
        <v>75</v>
      </c>
      <c r="O884" t="s">
        <v>2710</v>
      </c>
      <c r="P884" t="s">
        <v>59</v>
      </c>
      <c r="Q884">
        <v>4</v>
      </c>
      <c r="R884">
        <v>1912.45</v>
      </c>
      <c r="S884" s="6">
        <v>0</v>
      </c>
      <c r="T884" s="6">
        <f t="shared" si="120"/>
        <v>0</v>
      </c>
      <c r="U884">
        <v>7649.8</v>
      </c>
      <c r="V884">
        <f t="shared" si="121"/>
        <v>7649.8</v>
      </c>
      <c r="W884" s="6">
        <f t="shared" si="122"/>
        <v>0</v>
      </c>
      <c r="X884">
        <v>4894.53</v>
      </c>
      <c r="Y884">
        <v>2755.27</v>
      </c>
      <c r="Z884">
        <f t="shared" si="123"/>
        <v>2755.2700000000004</v>
      </c>
      <c r="AA884" s="6">
        <f t="shared" si="124"/>
        <v>0</v>
      </c>
      <c r="AB884">
        <f t="shared" si="125"/>
        <v>0.36017542942299152</v>
      </c>
      <c r="AC884" t="s">
        <v>111</v>
      </c>
      <c r="AD884" t="s">
        <v>103</v>
      </c>
      <c r="AE884" t="s">
        <v>2827</v>
      </c>
      <c r="AF884" t="s">
        <v>2814</v>
      </c>
    </row>
    <row r="885" spans="1:32">
      <c r="A885" t="s">
        <v>2711</v>
      </c>
      <c r="B885" s="3">
        <v>45775</v>
      </c>
      <c r="C885" t="str">
        <f t="shared" si="118"/>
        <v>April</v>
      </c>
      <c r="D885">
        <f t="shared" si="119"/>
        <v>2025</v>
      </c>
      <c r="E885" s="3">
        <v>45778</v>
      </c>
      <c r="F885">
        <f t="shared" si="117"/>
        <v>3</v>
      </c>
      <c r="G885" t="s">
        <v>2712</v>
      </c>
      <c r="H885" t="s">
        <v>128</v>
      </c>
      <c r="I885" t="s">
        <v>37</v>
      </c>
      <c r="J885" t="s">
        <v>63</v>
      </c>
      <c r="K885" t="s">
        <v>190</v>
      </c>
      <c r="L885" t="s">
        <v>191</v>
      </c>
      <c r="M885" t="s">
        <v>28</v>
      </c>
      <c r="N885" t="s">
        <v>124</v>
      </c>
      <c r="O885" t="s">
        <v>2713</v>
      </c>
      <c r="P885" t="s">
        <v>44</v>
      </c>
      <c r="Q885">
        <v>1</v>
      </c>
      <c r="R885">
        <v>1620.87</v>
      </c>
      <c r="S885" s="6">
        <v>0</v>
      </c>
      <c r="T885" s="6">
        <f t="shared" si="120"/>
        <v>0</v>
      </c>
      <c r="U885">
        <v>1620.87</v>
      </c>
      <c r="V885">
        <f t="shared" si="121"/>
        <v>1620.87</v>
      </c>
      <c r="W885" s="6">
        <f t="shared" si="122"/>
        <v>0</v>
      </c>
      <c r="X885">
        <v>1103.6099999999999</v>
      </c>
      <c r="Y885">
        <v>517.26</v>
      </c>
      <c r="Z885">
        <f t="shared" si="123"/>
        <v>517.26</v>
      </c>
      <c r="AA885" s="6">
        <f t="shared" si="124"/>
        <v>0</v>
      </c>
      <c r="AB885">
        <f t="shared" si="125"/>
        <v>0.31912491439782342</v>
      </c>
      <c r="AC885" t="s">
        <v>32</v>
      </c>
      <c r="AD885" t="s">
        <v>33</v>
      </c>
      <c r="AE885" t="s">
        <v>2828</v>
      </c>
    </row>
    <row r="886" spans="1:32">
      <c r="A886" t="s">
        <v>2714</v>
      </c>
      <c r="B886" s="3">
        <v>45675</v>
      </c>
      <c r="C886" t="str">
        <f t="shared" si="118"/>
        <v>January</v>
      </c>
      <c r="D886">
        <f t="shared" si="119"/>
        <v>2025</v>
      </c>
      <c r="E886" s="3">
        <v>45682</v>
      </c>
      <c r="F886">
        <f t="shared" si="117"/>
        <v>7</v>
      </c>
      <c r="G886" t="s">
        <v>2715</v>
      </c>
      <c r="H886" t="s">
        <v>79</v>
      </c>
      <c r="I886" t="s">
        <v>95</v>
      </c>
      <c r="J886" t="s">
        <v>54</v>
      </c>
      <c r="K886" t="s">
        <v>175</v>
      </c>
      <c r="L886" t="s">
        <v>176</v>
      </c>
      <c r="M886" t="s">
        <v>28</v>
      </c>
      <c r="N886" t="s">
        <v>124</v>
      </c>
      <c r="O886" t="s">
        <v>2716</v>
      </c>
      <c r="P886" t="s">
        <v>44</v>
      </c>
      <c r="Q886">
        <v>2</v>
      </c>
      <c r="R886">
        <v>2098.54</v>
      </c>
      <c r="S886" s="6">
        <v>0.15</v>
      </c>
      <c r="T886" s="6">
        <f t="shared" si="120"/>
        <v>0.15</v>
      </c>
      <c r="U886">
        <v>3567.52</v>
      </c>
      <c r="V886">
        <f t="shared" si="121"/>
        <v>3567.518</v>
      </c>
      <c r="W886" s="6">
        <f t="shared" si="122"/>
        <v>-1.9999999999527063E-3</v>
      </c>
      <c r="X886">
        <v>2411.8000000000002</v>
      </c>
      <c r="Y886">
        <v>1155.72</v>
      </c>
      <c r="Z886">
        <f t="shared" si="123"/>
        <v>1155.7179999999998</v>
      </c>
      <c r="AA886" s="6">
        <f t="shared" si="124"/>
        <v>-2.00000000018008E-3</v>
      </c>
      <c r="AB886">
        <f t="shared" si="125"/>
        <v>0.32395575859743381</v>
      </c>
      <c r="AC886" t="s">
        <v>32</v>
      </c>
      <c r="AD886" t="s">
        <v>33</v>
      </c>
      <c r="AE886" t="s">
        <v>2828</v>
      </c>
    </row>
    <row r="887" spans="1:32">
      <c r="A887" t="s">
        <v>2717</v>
      </c>
      <c r="B887" s="3">
        <v>45413</v>
      </c>
      <c r="C887" t="str">
        <f t="shared" si="118"/>
        <v>May</v>
      </c>
      <c r="D887">
        <f t="shared" si="119"/>
        <v>2024</v>
      </c>
      <c r="E887" s="3">
        <v>45413</v>
      </c>
      <c r="F887">
        <f t="shared" si="117"/>
        <v>0</v>
      </c>
      <c r="G887" t="s">
        <v>2718</v>
      </c>
      <c r="H887" t="s">
        <v>162</v>
      </c>
      <c r="I887" t="s">
        <v>24</v>
      </c>
      <c r="J887" t="s">
        <v>25</v>
      </c>
      <c r="K887" t="s">
        <v>26</v>
      </c>
      <c r="L887" t="s">
        <v>27</v>
      </c>
      <c r="M887" t="s">
        <v>41</v>
      </c>
      <c r="N887" t="s">
        <v>42</v>
      </c>
      <c r="O887" t="s">
        <v>2719</v>
      </c>
      <c r="P887" t="s">
        <v>59</v>
      </c>
      <c r="Q887">
        <v>1</v>
      </c>
      <c r="R887">
        <v>2167.08</v>
      </c>
      <c r="S887" s="6">
        <v>0.25</v>
      </c>
      <c r="T887" s="6">
        <f t="shared" si="120"/>
        <v>0.25</v>
      </c>
      <c r="U887">
        <v>1625.31</v>
      </c>
      <c r="V887">
        <f t="shared" si="121"/>
        <v>1625.31</v>
      </c>
      <c r="W887" s="6">
        <f t="shared" si="122"/>
        <v>0</v>
      </c>
      <c r="X887">
        <v>1157.8900000000001</v>
      </c>
      <c r="Y887">
        <v>467.42</v>
      </c>
      <c r="Z887">
        <f t="shared" si="123"/>
        <v>467.41999999999985</v>
      </c>
      <c r="AA887" s="6">
        <f t="shared" si="124"/>
        <v>0</v>
      </c>
      <c r="AB887">
        <f t="shared" si="125"/>
        <v>0.28758821394072509</v>
      </c>
      <c r="AC887" t="s">
        <v>32</v>
      </c>
      <c r="AD887" t="s">
        <v>33</v>
      </c>
      <c r="AE887" t="s">
        <v>2828</v>
      </c>
    </row>
    <row r="888" spans="1:32">
      <c r="A888" t="s">
        <v>2720</v>
      </c>
      <c r="B888" s="3">
        <v>45773</v>
      </c>
      <c r="C888" t="str">
        <f t="shared" si="118"/>
        <v>April</v>
      </c>
      <c r="D888">
        <f t="shared" si="119"/>
        <v>2025</v>
      </c>
      <c r="E888" s="3">
        <v>45721</v>
      </c>
      <c r="F888">
        <f t="shared" si="117"/>
        <v>-52</v>
      </c>
      <c r="G888" t="s">
        <v>2721</v>
      </c>
      <c r="H888" t="s">
        <v>53</v>
      </c>
      <c r="I888" t="s">
        <v>95</v>
      </c>
      <c r="J888" t="s">
        <v>54</v>
      </c>
      <c r="K888" t="s">
        <v>247</v>
      </c>
      <c r="L888" t="s">
        <v>248</v>
      </c>
      <c r="M888" t="s">
        <v>74</v>
      </c>
      <c r="N888" t="s">
        <v>75</v>
      </c>
      <c r="O888" t="s">
        <v>2722</v>
      </c>
      <c r="P888" t="s">
        <v>50</v>
      </c>
      <c r="Q888">
        <v>7</v>
      </c>
      <c r="R888">
        <v>3989.9</v>
      </c>
      <c r="S888" s="6">
        <v>0.15</v>
      </c>
      <c r="T888" s="6">
        <f t="shared" si="120"/>
        <v>0.15</v>
      </c>
      <c r="U888">
        <v>23739.9</v>
      </c>
      <c r="V888">
        <f t="shared" si="121"/>
        <v>23739.904999999999</v>
      </c>
      <c r="W888" s="6">
        <f t="shared" si="122"/>
        <v>4.9999999973806553E-3</v>
      </c>
      <c r="X888">
        <v>17716.52</v>
      </c>
      <c r="Y888">
        <v>6023.38</v>
      </c>
      <c r="Z888">
        <f t="shared" si="123"/>
        <v>6023.3849999999984</v>
      </c>
      <c r="AA888" s="6">
        <f t="shared" si="124"/>
        <v>4.99999999829015E-3</v>
      </c>
      <c r="AB888">
        <f t="shared" si="125"/>
        <v>0.25372405660427028</v>
      </c>
      <c r="AC888" t="s">
        <v>32</v>
      </c>
      <c r="AD888" t="s">
        <v>68</v>
      </c>
      <c r="AE888" t="s">
        <v>2826</v>
      </c>
      <c r="AF888" s="10" t="s">
        <v>2793</v>
      </c>
    </row>
    <row r="889" spans="1:32">
      <c r="A889" t="s">
        <v>2723</v>
      </c>
      <c r="B889" s="3">
        <v>45632</v>
      </c>
      <c r="C889" t="str">
        <f t="shared" si="118"/>
        <v>December</v>
      </c>
      <c r="D889">
        <f t="shared" si="119"/>
        <v>2024</v>
      </c>
      <c r="E889" s="3">
        <v>45461</v>
      </c>
      <c r="F889">
        <f t="shared" si="117"/>
        <v>-171</v>
      </c>
      <c r="G889" t="s">
        <v>2724</v>
      </c>
      <c r="H889" t="s">
        <v>128</v>
      </c>
      <c r="I889" t="s">
        <v>37</v>
      </c>
      <c r="J889" t="s">
        <v>54</v>
      </c>
      <c r="K889" t="s">
        <v>84</v>
      </c>
      <c r="L889" t="s">
        <v>85</v>
      </c>
      <c r="M889" t="s">
        <v>28</v>
      </c>
      <c r="N889" t="s">
        <v>48</v>
      </c>
      <c r="O889" t="s">
        <v>2725</v>
      </c>
      <c r="P889" t="s">
        <v>59</v>
      </c>
      <c r="Q889">
        <v>4</v>
      </c>
      <c r="R889">
        <v>4176.13</v>
      </c>
      <c r="S889" s="6">
        <v>0</v>
      </c>
      <c r="T889" s="6">
        <f t="shared" si="120"/>
        <v>0</v>
      </c>
      <c r="U889">
        <v>16704.52</v>
      </c>
      <c r="V889">
        <f t="shared" si="121"/>
        <v>16704.52</v>
      </c>
      <c r="W889" s="6">
        <f t="shared" si="122"/>
        <v>0</v>
      </c>
      <c r="X889">
        <v>10158.280000000001</v>
      </c>
      <c r="Y889">
        <v>6546.24</v>
      </c>
      <c r="Z889">
        <f t="shared" si="123"/>
        <v>6546.24</v>
      </c>
      <c r="AA889" s="6">
        <f t="shared" si="124"/>
        <v>0</v>
      </c>
      <c r="AB889">
        <f t="shared" si="125"/>
        <v>0.39188435225914897</v>
      </c>
      <c r="AC889" t="s">
        <v>32</v>
      </c>
      <c r="AD889" t="s">
        <v>33</v>
      </c>
      <c r="AE889" t="s">
        <v>2826</v>
      </c>
      <c r="AF889" s="10" t="s">
        <v>2790</v>
      </c>
    </row>
    <row r="890" spans="1:32">
      <c r="A890" t="s">
        <v>2726</v>
      </c>
      <c r="B890" s="3">
        <v>45816</v>
      </c>
      <c r="C890" t="str">
        <f t="shared" si="118"/>
        <v>June</v>
      </c>
      <c r="D890">
        <f t="shared" si="119"/>
        <v>2025</v>
      </c>
      <c r="E890" s="3">
        <v>45846</v>
      </c>
      <c r="F890">
        <f t="shared" si="117"/>
        <v>30</v>
      </c>
      <c r="G890" t="s">
        <v>2727</v>
      </c>
      <c r="H890" t="s">
        <v>118</v>
      </c>
      <c r="I890" t="s">
        <v>37</v>
      </c>
      <c r="J890" t="s">
        <v>63</v>
      </c>
      <c r="K890" t="s">
        <v>64</v>
      </c>
      <c r="L890" t="s">
        <v>65</v>
      </c>
      <c r="M890" t="s">
        <v>28</v>
      </c>
      <c r="N890" t="s">
        <v>48</v>
      </c>
      <c r="O890" t="s">
        <v>2728</v>
      </c>
      <c r="P890" t="s">
        <v>59</v>
      </c>
      <c r="Q890">
        <v>4</v>
      </c>
      <c r="R890">
        <v>3523.64</v>
      </c>
      <c r="S890" s="6">
        <v>0.1</v>
      </c>
      <c r="T890" s="6">
        <f t="shared" si="120"/>
        <v>0.1</v>
      </c>
      <c r="U890">
        <v>12685.1</v>
      </c>
      <c r="V890">
        <f t="shared" si="121"/>
        <v>12685.103999999999</v>
      </c>
      <c r="W890" s="6">
        <f t="shared" si="122"/>
        <v>3.9999999989959178E-3</v>
      </c>
      <c r="X890">
        <v>10779.56</v>
      </c>
      <c r="Y890">
        <v>1905.54</v>
      </c>
      <c r="Z890">
        <f t="shared" si="123"/>
        <v>1905.5439999999999</v>
      </c>
      <c r="AA890" s="6">
        <f t="shared" si="124"/>
        <v>3.9999999999054126E-3</v>
      </c>
      <c r="AB890">
        <f t="shared" si="125"/>
        <v>0.15021902855506741</v>
      </c>
      <c r="AC890" t="s">
        <v>102</v>
      </c>
      <c r="AD890" t="s">
        <v>68</v>
      </c>
      <c r="AE890" t="s">
        <v>2827</v>
      </c>
      <c r="AF890" t="s">
        <v>2808</v>
      </c>
    </row>
    <row r="891" spans="1:32">
      <c r="A891" t="s">
        <v>2729</v>
      </c>
      <c r="B891" s="3">
        <v>45933</v>
      </c>
      <c r="C891" t="str">
        <f t="shared" si="118"/>
        <v>October</v>
      </c>
      <c r="D891">
        <f t="shared" si="119"/>
        <v>2025</v>
      </c>
      <c r="E891" s="3">
        <v>45727</v>
      </c>
      <c r="F891">
        <f t="shared" si="117"/>
        <v>-206</v>
      </c>
      <c r="G891" t="s">
        <v>881</v>
      </c>
      <c r="H891" t="s">
        <v>89</v>
      </c>
      <c r="I891" t="s">
        <v>95</v>
      </c>
      <c r="J891" t="s">
        <v>63</v>
      </c>
      <c r="K891" t="s">
        <v>72</v>
      </c>
      <c r="L891" t="s">
        <v>73</v>
      </c>
      <c r="M891" t="s">
        <v>28</v>
      </c>
      <c r="N891" t="s">
        <v>124</v>
      </c>
      <c r="O891" t="s">
        <v>2730</v>
      </c>
      <c r="P891" t="s">
        <v>50</v>
      </c>
      <c r="Q891">
        <v>2</v>
      </c>
      <c r="R891">
        <v>3922.08</v>
      </c>
      <c r="S891" s="6">
        <v>0.25</v>
      </c>
      <c r="T891" s="6">
        <f t="shared" si="120"/>
        <v>0.25</v>
      </c>
      <c r="U891">
        <v>5883.12</v>
      </c>
      <c r="V891">
        <f t="shared" si="121"/>
        <v>5883.12</v>
      </c>
      <c r="W891" s="6">
        <f t="shared" si="122"/>
        <v>0</v>
      </c>
      <c r="X891">
        <v>4647.91</v>
      </c>
      <c r="Y891">
        <v>1235.21</v>
      </c>
      <c r="Z891">
        <f t="shared" si="123"/>
        <v>1235.21</v>
      </c>
      <c r="AA891" s="6">
        <f t="shared" si="124"/>
        <v>0</v>
      </c>
      <c r="AB891">
        <f t="shared" si="125"/>
        <v>0.20995832143488491</v>
      </c>
      <c r="AC891" t="s">
        <v>32</v>
      </c>
      <c r="AD891" t="s">
        <v>103</v>
      </c>
      <c r="AE891" t="s">
        <v>2826</v>
      </c>
      <c r="AF891" s="10" t="s">
        <v>2818</v>
      </c>
    </row>
    <row r="892" spans="1:32">
      <c r="A892" t="s">
        <v>2731</v>
      </c>
      <c r="B892" s="3">
        <v>45427</v>
      </c>
      <c r="C892" t="str">
        <f t="shared" si="118"/>
        <v>May</v>
      </c>
      <c r="D892">
        <f t="shared" si="119"/>
        <v>2024</v>
      </c>
      <c r="E892" s="3">
        <v>45433</v>
      </c>
      <c r="F892">
        <f t="shared" si="117"/>
        <v>6</v>
      </c>
      <c r="G892" t="s">
        <v>2732</v>
      </c>
      <c r="H892" t="s">
        <v>23</v>
      </c>
      <c r="I892" t="s">
        <v>24</v>
      </c>
      <c r="J892" t="s">
        <v>63</v>
      </c>
      <c r="K892" t="s">
        <v>190</v>
      </c>
      <c r="L892" t="s">
        <v>191</v>
      </c>
      <c r="M892" t="s">
        <v>28</v>
      </c>
      <c r="N892" t="s">
        <v>124</v>
      </c>
      <c r="O892" t="s">
        <v>2733</v>
      </c>
      <c r="P892" t="s">
        <v>59</v>
      </c>
      <c r="Q892">
        <v>6</v>
      </c>
      <c r="R892">
        <v>2909.56</v>
      </c>
      <c r="S892" s="6">
        <v>0.2</v>
      </c>
      <c r="T892" s="6">
        <f t="shared" si="120"/>
        <v>0.2</v>
      </c>
      <c r="U892">
        <v>13965.89</v>
      </c>
      <c r="V892">
        <f t="shared" si="121"/>
        <v>13965.888000000001</v>
      </c>
      <c r="W892" s="6">
        <f t="shared" si="122"/>
        <v>-1.9999999985884642E-3</v>
      </c>
      <c r="X892">
        <v>11646.12</v>
      </c>
      <c r="Y892">
        <v>2319.77</v>
      </c>
      <c r="Z892">
        <f t="shared" si="123"/>
        <v>2319.768</v>
      </c>
      <c r="AA892" s="6">
        <f t="shared" si="124"/>
        <v>-1.9999999999527063E-3</v>
      </c>
      <c r="AB892">
        <f t="shared" si="125"/>
        <v>0.16610243473239938</v>
      </c>
      <c r="AC892" t="s">
        <v>32</v>
      </c>
      <c r="AD892" t="s">
        <v>33</v>
      </c>
      <c r="AE892" t="s">
        <v>2828</v>
      </c>
    </row>
    <row r="893" spans="1:32">
      <c r="A893" t="s">
        <v>2734</v>
      </c>
      <c r="B893" s="3">
        <v>45514</v>
      </c>
      <c r="C893" t="str">
        <f t="shared" si="118"/>
        <v>August</v>
      </c>
      <c r="D893">
        <f t="shared" si="119"/>
        <v>2024</v>
      </c>
      <c r="E893" s="3">
        <v>45545</v>
      </c>
      <c r="F893">
        <f t="shared" si="117"/>
        <v>31</v>
      </c>
      <c r="G893" t="s">
        <v>2735</v>
      </c>
      <c r="H893" t="s">
        <v>264</v>
      </c>
      <c r="I893" t="s">
        <v>90</v>
      </c>
      <c r="J893" t="s">
        <v>54</v>
      </c>
      <c r="K893" t="s">
        <v>247</v>
      </c>
      <c r="L893" t="s">
        <v>248</v>
      </c>
      <c r="M893" t="s">
        <v>74</v>
      </c>
      <c r="N893" t="s">
        <v>274</v>
      </c>
      <c r="O893" t="s">
        <v>2736</v>
      </c>
      <c r="P893" t="s">
        <v>44</v>
      </c>
      <c r="Q893">
        <v>5</v>
      </c>
      <c r="R893">
        <v>2407.9699999999998</v>
      </c>
      <c r="S893" s="6">
        <v>0.1</v>
      </c>
      <c r="T893" s="6">
        <f t="shared" si="120"/>
        <v>0.1</v>
      </c>
      <c r="U893">
        <v>10835.86</v>
      </c>
      <c r="V893">
        <f t="shared" si="121"/>
        <v>10835.865</v>
      </c>
      <c r="W893" s="6">
        <f t="shared" si="122"/>
        <v>4.9999999991996447E-3</v>
      </c>
      <c r="X893">
        <v>6419.92</v>
      </c>
      <c r="Y893">
        <v>4415.9399999999996</v>
      </c>
      <c r="Z893">
        <f t="shared" si="123"/>
        <v>4415.9449999999997</v>
      </c>
      <c r="AA893" s="6">
        <f t="shared" si="124"/>
        <v>5.0000000001091394E-3</v>
      </c>
      <c r="AB893">
        <f t="shared" si="125"/>
        <v>0.40753045557507406</v>
      </c>
      <c r="AC893" t="s">
        <v>155</v>
      </c>
      <c r="AD893" t="s">
        <v>68</v>
      </c>
      <c r="AE893" t="s">
        <v>2827</v>
      </c>
      <c r="AF893" s="10" t="s">
        <v>2796</v>
      </c>
    </row>
    <row r="894" spans="1:32">
      <c r="A894" t="s">
        <v>2737</v>
      </c>
      <c r="B894" s="3">
        <v>45759</v>
      </c>
      <c r="C894" t="str">
        <f t="shared" si="118"/>
        <v>April</v>
      </c>
      <c r="D894">
        <f t="shared" si="119"/>
        <v>2025</v>
      </c>
      <c r="E894" s="3">
        <v>45765</v>
      </c>
      <c r="F894">
        <f t="shared" si="117"/>
        <v>6</v>
      </c>
      <c r="G894" t="s">
        <v>2738</v>
      </c>
      <c r="H894" t="s">
        <v>47</v>
      </c>
      <c r="I894" t="s">
        <v>37</v>
      </c>
      <c r="J894" t="s">
        <v>38</v>
      </c>
      <c r="K894" t="s">
        <v>228</v>
      </c>
      <c r="L894" t="s">
        <v>229</v>
      </c>
      <c r="M894" t="s">
        <v>74</v>
      </c>
      <c r="N894" t="s">
        <v>80</v>
      </c>
      <c r="O894" t="s">
        <v>2739</v>
      </c>
      <c r="P894" t="s">
        <v>44</v>
      </c>
      <c r="Q894">
        <v>1</v>
      </c>
      <c r="R894">
        <v>726.89</v>
      </c>
      <c r="S894" s="6">
        <v>0.2</v>
      </c>
      <c r="T894" s="6">
        <f t="shared" si="120"/>
        <v>0.2</v>
      </c>
      <c r="U894">
        <v>581.51</v>
      </c>
      <c r="V894">
        <f t="shared" si="121"/>
        <v>581.51200000000006</v>
      </c>
      <c r="W894" s="6">
        <f t="shared" si="122"/>
        <v>2.0000000000663931E-3</v>
      </c>
      <c r="X894">
        <v>423.86</v>
      </c>
      <c r="Y894">
        <v>157.65</v>
      </c>
      <c r="Z894">
        <f t="shared" si="123"/>
        <v>157.65200000000004</v>
      </c>
      <c r="AA894" s="6">
        <f t="shared" si="124"/>
        <v>2.0000000000379714E-3</v>
      </c>
      <c r="AB894">
        <f t="shared" si="125"/>
        <v>0.27110704508247468</v>
      </c>
      <c r="AC894" t="s">
        <v>32</v>
      </c>
      <c r="AD894" t="s">
        <v>33</v>
      </c>
      <c r="AE894" t="s">
        <v>2828</v>
      </c>
    </row>
    <row r="895" spans="1:32">
      <c r="A895" t="s">
        <v>2740</v>
      </c>
      <c r="B895" s="3">
        <v>45449</v>
      </c>
      <c r="C895" t="str">
        <f t="shared" si="118"/>
        <v>June</v>
      </c>
      <c r="D895">
        <f t="shared" si="119"/>
        <v>2024</v>
      </c>
      <c r="E895" s="3">
        <v>45510</v>
      </c>
      <c r="F895">
        <f t="shared" si="117"/>
        <v>61</v>
      </c>
      <c r="G895" t="s">
        <v>2741</v>
      </c>
      <c r="H895" t="s">
        <v>128</v>
      </c>
      <c r="I895" t="s">
        <v>90</v>
      </c>
      <c r="J895" t="s">
        <v>54</v>
      </c>
      <c r="K895" t="s">
        <v>175</v>
      </c>
      <c r="L895" t="s">
        <v>176</v>
      </c>
      <c r="M895" t="s">
        <v>41</v>
      </c>
      <c r="N895" t="s">
        <v>42</v>
      </c>
      <c r="O895" t="s">
        <v>2742</v>
      </c>
      <c r="P895" t="s">
        <v>31</v>
      </c>
      <c r="Q895">
        <v>3</v>
      </c>
      <c r="R895">
        <v>395.49</v>
      </c>
      <c r="S895" s="6">
        <v>0.05</v>
      </c>
      <c r="T895" s="6">
        <f t="shared" si="120"/>
        <v>0.05</v>
      </c>
      <c r="U895">
        <v>1127.1500000000001</v>
      </c>
      <c r="V895">
        <f t="shared" si="121"/>
        <v>1127.1465000000001</v>
      </c>
      <c r="W895" s="6">
        <f t="shared" si="122"/>
        <v>-3.5000000000309228E-3</v>
      </c>
      <c r="X895">
        <v>845.62</v>
      </c>
      <c r="Y895">
        <v>281.52999999999997</v>
      </c>
      <c r="Z895">
        <f t="shared" si="123"/>
        <v>281.52650000000006</v>
      </c>
      <c r="AA895" s="6">
        <f t="shared" si="124"/>
        <v>-3.499999999917236E-3</v>
      </c>
      <c r="AB895">
        <f t="shared" si="125"/>
        <v>0.24976921810962466</v>
      </c>
      <c r="AC895" t="s">
        <v>32</v>
      </c>
      <c r="AD895" t="s">
        <v>103</v>
      </c>
      <c r="AE895" t="s">
        <v>2827</v>
      </c>
      <c r="AF895" t="s">
        <v>103</v>
      </c>
    </row>
    <row r="896" spans="1:32">
      <c r="A896" t="s">
        <v>2743</v>
      </c>
      <c r="B896" s="3">
        <v>45344</v>
      </c>
      <c r="C896" t="str">
        <f t="shared" si="118"/>
        <v>February</v>
      </c>
      <c r="D896">
        <f t="shared" si="119"/>
        <v>2024</v>
      </c>
      <c r="E896" s="3">
        <v>45351</v>
      </c>
      <c r="F896">
        <f t="shared" si="117"/>
        <v>7</v>
      </c>
      <c r="G896" t="s">
        <v>2744</v>
      </c>
      <c r="H896" t="s">
        <v>47</v>
      </c>
      <c r="I896" t="s">
        <v>95</v>
      </c>
      <c r="J896" t="s">
        <v>54</v>
      </c>
      <c r="K896" t="s">
        <v>55</v>
      </c>
      <c r="L896" t="s">
        <v>56</v>
      </c>
      <c r="M896" t="s">
        <v>41</v>
      </c>
      <c r="N896" t="s">
        <v>42</v>
      </c>
      <c r="O896" t="s">
        <v>2745</v>
      </c>
      <c r="P896" t="s">
        <v>50</v>
      </c>
      <c r="Q896">
        <v>6</v>
      </c>
      <c r="R896">
        <v>4254.05</v>
      </c>
      <c r="S896" s="6">
        <v>0</v>
      </c>
      <c r="T896" s="6">
        <f t="shared" si="120"/>
        <v>0</v>
      </c>
      <c r="U896">
        <v>25524.3</v>
      </c>
      <c r="V896">
        <f t="shared" si="121"/>
        <v>25524.300000000003</v>
      </c>
      <c r="W896" s="6">
        <f t="shared" si="122"/>
        <v>0</v>
      </c>
      <c r="X896">
        <v>16711.93</v>
      </c>
      <c r="Y896">
        <v>8812.3700000000008</v>
      </c>
      <c r="Z896">
        <f t="shared" si="123"/>
        <v>8812.3700000000026</v>
      </c>
      <c r="AA896" s="6">
        <f t="shared" si="124"/>
        <v>0</v>
      </c>
      <c r="AB896">
        <f t="shared" si="125"/>
        <v>0.34525413037771857</v>
      </c>
      <c r="AC896" t="s">
        <v>32</v>
      </c>
      <c r="AD896" t="s">
        <v>33</v>
      </c>
      <c r="AE896" t="s">
        <v>2828</v>
      </c>
    </row>
    <row r="897" spans="1:32">
      <c r="A897" t="s">
        <v>2746</v>
      </c>
      <c r="B897" s="3">
        <v>45423</v>
      </c>
      <c r="C897" t="str">
        <f t="shared" si="118"/>
        <v>May</v>
      </c>
      <c r="D897">
        <f t="shared" si="119"/>
        <v>2024</v>
      </c>
      <c r="E897" s="3">
        <v>45606</v>
      </c>
      <c r="F897">
        <f t="shared" si="117"/>
        <v>183</v>
      </c>
      <c r="G897" t="s">
        <v>2747</v>
      </c>
      <c r="H897" t="s">
        <v>53</v>
      </c>
      <c r="I897" t="s">
        <v>24</v>
      </c>
      <c r="J897" t="s">
        <v>54</v>
      </c>
      <c r="K897" t="s">
        <v>185</v>
      </c>
      <c r="L897" t="s">
        <v>186</v>
      </c>
      <c r="M897" t="s">
        <v>41</v>
      </c>
      <c r="N897" t="s">
        <v>66</v>
      </c>
      <c r="O897" t="s">
        <v>2748</v>
      </c>
      <c r="P897" t="s">
        <v>44</v>
      </c>
      <c r="Q897">
        <v>4</v>
      </c>
      <c r="R897">
        <v>711.18</v>
      </c>
      <c r="S897" s="6">
        <v>0.15</v>
      </c>
      <c r="T897" s="6">
        <f t="shared" si="120"/>
        <v>0.15</v>
      </c>
      <c r="U897">
        <v>2418.0100000000002</v>
      </c>
      <c r="V897">
        <f t="shared" si="121"/>
        <v>2418.0119999999997</v>
      </c>
      <c r="W897" s="6">
        <f t="shared" si="122"/>
        <v>1.9999999994979589E-3</v>
      </c>
      <c r="X897">
        <v>1441.89</v>
      </c>
      <c r="Y897">
        <v>976.12</v>
      </c>
      <c r="Z897">
        <f t="shared" si="123"/>
        <v>976.12199999999962</v>
      </c>
      <c r="AA897" s="6">
        <f t="shared" si="124"/>
        <v>1.9999999996116458E-3</v>
      </c>
      <c r="AB897">
        <f t="shared" si="125"/>
        <v>0.40368782288921634</v>
      </c>
      <c r="AC897" t="s">
        <v>111</v>
      </c>
      <c r="AD897" t="s">
        <v>103</v>
      </c>
      <c r="AE897" t="s">
        <v>2827</v>
      </c>
      <c r="AF897" t="s">
        <v>2814</v>
      </c>
    </row>
    <row r="898" spans="1:32">
      <c r="A898" t="s">
        <v>2749</v>
      </c>
      <c r="B898" s="3">
        <v>45650</v>
      </c>
      <c r="C898" t="str">
        <f t="shared" si="118"/>
        <v>December</v>
      </c>
      <c r="D898">
        <f t="shared" si="119"/>
        <v>2024</v>
      </c>
      <c r="E898" s="3">
        <v>45651</v>
      </c>
      <c r="F898">
        <f t="shared" ref="F898:F913" si="126">E898-B898</f>
        <v>1</v>
      </c>
      <c r="G898" t="s">
        <v>2750</v>
      </c>
      <c r="H898" t="s">
        <v>62</v>
      </c>
      <c r="I898" t="s">
        <v>37</v>
      </c>
      <c r="J898" t="s">
        <v>54</v>
      </c>
      <c r="K898" t="s">
        <v>247</v>
      </c>
      <c r="L898" t="s">
        <v>248</v>
      </c>
      <c r="M898" t="s">
        <v>74</v>
      </c>
      <c r="N898" t="s">
        <v>80</v>
      </c>
      <c r="O898" t="s">
        <v>2751</v>
      </c>
      <c r="P898" t="s">
        <v>31</v>
      </c>
      <c r="Q898">
        <v>1</v>
      </c>
      <c r="R898">
        <v>3693.03</v>
      </c>
      <c r="S898" s="6">
        <v>0.05</v>
      </c>
      <c r="T898" s="6">
        <f t="shared" si="120"/>
        <v>0.05</v>
      </c>
      <c r="U898">
        <v>3508.38</v>
      </c>
      <c r="V898">
        <f t="shared" si="121"/>
        <v>3508.3784999999998</v>
      </c>
      <c r="W898" s="6">
        <f t="shared" si="122"/>
        <v>-1.5000000003055902E-3</v>
      </c>
      <c r="X898">
        <v>2828.06</v>
      </c>
      <c r="Y898">
        <v>680.32</v>
      </c>
      <c r="Z898">
        <f t="shared" si="123"/>
        <v>680.31849999999986</v>
      </c>
      <c r="AA898" s="6">
        <f t="shared" si="124"/>
        <v>-1.5000000001919034E-3</v>
      </c>
      <c r="AB898">
        <f t="shared" si="125"/>
        <v>0.19391251542557336</v>
      </c>
      <c r="AC898" t="s">
        <v>155</v>
      </c>
      <c r="AD898" t="s">
        <v>103</v>
      </c>
      <c r="AE898" t="s">
        <v>2827</v>
      </c>
      <c r="AF898" s="10" t="s">
        <v>2821</v>
      </c>
    </row>
    <row r="899" spans="1:32">
      <c r="A899" t="s">
        <v>2752</v>
      </c>
      <c r="B899" s="3">
        <v>45776</v>
      </c>
      <c r="C899" t="str">
        <f t="shared" ref="C899:C913" si="127">TEXT(B899, "mmmm")</f>
        <v>April</v>
      </c>
      <c r="D899">
        <f t="shared" ref="D899:D913" si="128">YEAR(B899)</f>
        <v>2025</v>
      </c>
      <c r="E899" s="3">
        <v>45721</v>
      </c>
      <c r="F899">
        <f t="shared" si="126"/>
        <v>-55</v>
      </c>
      <c r="G899" t="s">
        <v>2119</v>
      </c>
      <c r="H899" t="s">
        <v>141</v>
      </c>
      <c r="I899" t="s">
        <v>90</v>
      </c>
      <c r="J899" t="s">
        <v>25</v>
      </c>
      <c r="K899" t="s">
        <v>236</v>
      </c>
      <c r="L899" t="s">
        <v>237</v>
      </c>
      <c r="M899" t="s">
        <v>28</v>
      </c>
      <c r="N899" t="s">
        <v>29</v>
      </c>
      <c r="O899" t="s">
        <v>2753</v>
      </c>
      <c r="P899" t="s">
        <v>50</v>
      </c>
      <c r="Q899">
        <v>4</v>
      </c>
      <c r="R899">
        <v>1786.65</v>
      </c>
      <c r="S899" s="6">
        <v>0.05</v>
      </c>
      <c r="T899" s="6">
        <f t="shared" ref="T899:T913" si="129">ABS(S899)</f>
        <v>0.05</v>
      </c>
      <c r="U899">
        <v>6789.27</v>
      </c>
      <c r="V899">
        <f t="shared" ref="V899:V913" si="130">Q899*R899*(1-T899)</f>
        <v>6789.27</v>
      </c>
      <c r="W899" s="6">
        <f t="shared" ref="W899:W913" si="131">V899-U899</f>
        <v>0</v>
      </c>
      <c r="X899">
        <v>5626.43</v>
      </c>
      <c r="Y899">
        <v>1162.8399999999999</v>
      </c>
      <c r="Z899">
        <f t="shared" ref="Z899:Z913" si="132">V899-X899</f>
        <v>1162.8400000000001</v>
      </c>
      <c r="AA899" s="6">
        <f t="shared" ref="AA899:AA913" si="133">Z899-Y899</f>
        <v>0</v>
      </c>
      <c r="AB899">
        <f t="shared" ref="AB899:AB913" si="134">Z899/V899</f>
        <v>0.17127614603631908</v>
      </c>
      <c r="AC899" t="s">
        <v>32</v>
      </c>
      <c r="AD899" t="s">
        <v>33</v>
      </c>
      <c r="AE899" t="s">
        <v>2826</v>
      </c>
      <c r="AF899" s="10" t="s">
        <v>2790</v>
      </c>
    </row>
    <row r="900" spans="1:32">
      <c r="A900" t="s">
        <v>2754</v>
      </c>
      <c r="B900" s="3">
        <v>45328</v>
      </c>
      <c r="C900" t="str">
        <f t="shared" si="127"/>
        <v>February</v>
      </c>
      <c r="D900">
        <f t="shared" si="128"/>
        <v>2024</v>
      </c>
      <c r="E900" s="3">
        <v>45451</v>
      </c>
      <c r="F900">
        <f t="shared" si="126"/>
        <v>123</v>
      </c>
      <c r="G900" t="s">
        <v>2755</v>
      </c>
      <c r="H900" t="s">
        <v>71</v>
      </c>
      <c r="I900" t="s">
        <v>24</v>
      </c>
      <c r="J900" t="s">
        <v>25</v>
      </c>
      <c r="K900" t="s">
        <v>350</v>
      </c>
      <c r="L900" t="s">
        <v>351</v>
      </c>
      <c r="M900" t="s">
        <v>41</v>
      </c>
      <c r="N900" t="s">
        <v>42</v>
      </c>
      <c r="O900" t="s">
        <v>2756</v>
      </c>
      <c r="P900" t="s">
        <v>50</v>
      </c>
      <c r="Q900">
        <v>4</v>
      </c>
      <c r="R900">
        <v>1536.7</v>
      </c>
      <c r="S900" s="6">
        <v>0.2</v>
      </c>
      <c r="T900" s="6">
        <f t="shared" si="129"/>
        <v>0.2</v>
      </c>
      <c r="U900">
        <v>4917.4399999999996</v>
      </c>
      <c r="V900">
        <f t="shared" si="130"/>
        <v>4917.4400000000005</v>
      </c>
      <c r="W900" s="6">
        <f t="shared" si="131"/>
        <v>0</v>
      </c>
      <c r="X900">
        <v>3846.77</v>
      </c>
      <c r="Y900">
        <v>1070.67</v>
      </c>
      <c r="Z900">
        <f t="shared" si="132"/>
        <v>1070.6700000000005</v>
      </c>
      <c r="AA900" s="6">
        <f t="shared" si="133"/>
        <v>0</v>
      </c>
      <c r="AB900">
        <f t="shared" si="134"/>
        <v>0.21772914361944434</v>
      </c>
      <c r="AC900" t="s">
        <v>32</v>
      </c>
      <c r="AD900" t="s">
        <v>33</v>
      </c>
      <c r="AE900" t="s">
        <v>2828</v>
      </c>
    </row>
    <row r="901" spans="1:32">
      <c r="A901" t="s">
        <v>2757</v>
      </c>
      <c r="B901" s="3">
        <v>45804</v>
      </c>
      <c r="C901" t="str">
        <f t="shared" si="127"/>
        <v>May</v>
      </c>
      <c r="D901">
        <f t="shared" si="128"/>
        <v>2025</v>
      </c>
      <c r="E901" s="3">
        <v>45811</v>
      </c>
      <c r="F901">
        <f t="shared" si="126"/>
        <v>7</v>
      </c>
      <c r="G901" t="s">
        <v>2758</v>
      </c>
      <c r="H901" t="s">
        <v>23</v>
      </c>
      <c r="I901" t="s">
        <v>24</v>
      </c>
      <c r="J901" t="s">
        <v>25</v>
      </c>
      <c r="K901" t="s">
        <v>122</v>
      </c>
      <c r="L901" t="s">
        <v>123</v>
      </c>
      <c r="M901" t="s">
        <v>41</v>
      </c>
      <c r="N901" t="s">
        <v>66</v>
      </c>
      <c r="O901" t="s">
        <v>2759</v>
      </c>
      <c r="P901" t="s">
        <v>50</v>
      </c>
      <c r="Q901">
        <v>5</v>
      </c>
      <c r="R901">
        <v>881.08</v>
      </c>
      <c r="S901" s="6">
        <v>0.25</v>
      </c>
      <c r="T901" s="6">
        <f t="shared" si="129"/>
        <v>0.25</v>
      </c>
      <c r="U901">
        <v>3304.05</v>
      </c>
      <c r="V901">
        <f t="shared" si="130"/>
        <v>3304.05</v>
      </c>
      <c r="W901" s="6">
        <f t="shared" si="131"/>
        <v>0</v>
      </c>
      <c r="X901">
        <v>2279.41</v>
      </c>
      <c r="Y901">
        <v>1024.6400000000001</v>
      </c>
      <c r="Z901">
        <f t="shared" si="132"/>
        <v>1024.6400000000003</v>
      </c>
      <c r="AA901" s="6">
        <f t="shared" si="133"/>
        <v>0</v>
      </c>
      <c r="AB901">
        <f t="shared" si="134"/>
        <v>0.31011637233092726</v>
      </c>
      <c r="AC901" t="s">
        <v>155</v>
      </c>
      <c r="AD901" t="s">
        <v>68</v>
      </c>
      <c r="AE901" t="s">
        <v>2827</v>
      </c>
      <c r="AF901" s="10" t="s">
        <v>2796</v>
      </c>
    </row>
    <row r="902" spans="1:32">
      <c r="A902" t="s">
        <v>1096</v>
      </c>
      <c r="B902" s="3">
        <v>45394</v>
      </c>
      <c r="C902" t="str">
        <f t="shared" si="127"/>
        <v>April</v>
      </c>
      <c r="D902">
        <f t="shared" si="128"/>
        <v>2024</v>
      </c>
      <c r="E902" s="3">
        <v>45455</v>
      </c>
      <c r="F902">
        <f t="shared" si="126"/>
        <v>61</v>
      </c>
      <c r="G902" t="s">
        <v>1097</v>
      </c>
      <c r="H902" t="s">
        <v>132</v>
      </c>
      <c r="I902" t="s">
        <v>95</v>
      </c>
      <c r="J902" t="s">
        <v>38</v>
      </c>
      <c r="K902" t="s">
        <v>39</v>
      </c>
      <c r="L902" t="s">
        <v>40</v>
      </c>
      <c r="M902" t="s">
        <v>28</v>
      </c>
      <c r="N902" t="s">
        <v>153</v>
      </c>
      <c r="O902" t="s">
        <v>1098</v>
      </c>
      <c r="P902" t="s">
        <v>31</v>
      </c>
      <c r="Q902">
        <v>4</v>
      </c>
      <c r="R902">
        <v>2685.66</v>
      </c>
      <c r="S902" s="6">
        <v>0</v>
      </c>
      <c r="T902" s="6">
        <f t="shared" si="129"/>
        <v>0</v>
      </c>
      <c r="U902">
        <v>10989.89</v>
      </c>
      <c r="V902">
        <f t="shared" si="130"/>
        <v>10742.64</v>
      </c>
      <c r="W902" s="6">
        <f t="shared" si="131"/>
        <v>-247.25</v>
      </c>
      <c r="X902">
        <v>6477.37</v>
      </c>
      <c r="Y902">
        <v>4265.2700000000004</v>
      </c>
      <c r="Z902">
        <f t="shared" si="132"/>
        <v>4265.2699999999995</v>
      </c>
      <c r="AA902" s="6">
        <f t="shared" si="133"/>
        <v>0</v>
      </c>
      <c r="AB902">
        <f t="shared" si="134"/>
        <v>0.39704113700170535</v>
      </c>
      <c r="AC902" t="s">
        <v>32</v>
      </c>
      <c r="AD902" t="s">
        <v>33</v>
      </c>
      <c r="AE902" t="s">
        <v>2826</v>
      </c>
      <c r="AF902" s="10" t="s">
        <v>2800</v>
      </c>
    </row>
    <row r="903" spans="1:32">
      <c r="A903" t="s">
        <v>380</v>
      </c>
      <c r="B903" s="3">
        <v>45893</v>
      </c>
      <c r="C903" t="str">
        <f t="shared" si="127"/>
        <v>August</v>
      </c>
      <c r="D903">
        <f t="shared" si="128"/>
        <v>2025</v>
      </c>
      <c r="E903" s="3">
        <v>45898</v>
      </c>
      <c r="F903">
        <f t="shared" si="126"/>
        <v>5</v>
      </c>
      <c r="G903" t="s">
        <v>381</v>
      </c>
      <c r="H903" t="s">
        <v>128</v>
      </c>
      <c r="I903" t="s">
        <v>37</v>
      </c>
      <c r="J903" t="s">
        <v>38</v>
      </c>
      <c r="K903" t="s">
        <v>145</v>
      </c>
      <c r="L903" t="s">
        <v>146</v>
      </c>
      <c r="M903" t="s">
        <v>74</v>
      </c>
      <c r="N903" t="s">
        <v>80</v>
      </c>
      <c r="O903" t="s">
        <v>382</v>
      </c>
      <c r="P903" t="s">
        <v>50</v>
      </c>
      <c r="Q903">
        <v>3</v>
      </c>
      <c r="R903">
        <v>3703.96</v>
      </c>
      <c r="S903" s="6">
        <v>0.15</v>
      </c>
      <c r="T903" s="6">
        <f t="shared" si="129"/>
        <v>0.15</v>
      </c>
      <c r="U903">
        <v>9549.44</v>
      </c>
      <c r="V903">
        <f t="shared" si="130"/>
        <v>9445.098</v>
      </c>
      <c r="W903" s="6">
        <f t="shared" si="131"/>
        <v>-104.34200000000055</v>
      </c>
      <c r="X903">
        <v>5586.28</v>
      </c>
      <c r="Y903">
        <v>3858.82</v>
      </c>
      <c r="Z903">
        <f t="shared" si="132"/>
        <v>3858.8180000000002</v>
      </c>
      <c r="AA903" s="6">
        <f t="shared" si="133"/>
        <v>-1.9999999999527063E-3</v>
      </c>
      <c r="AB903">
        <f t="shared" si="134"/>
        <v>0.40855245758170006</v>
      </c>
      <c r="AC903" t="s">
        <v>32</v>
      </c>
      <c r="AD903" t="s">
        <v>103</v>
      </c>
      <c r="AE903" t="s">
        <v>2826</v>
      </c>
      <c r="AF903" s="10" t="s">
        <v>2822</v>
      </c>
    </row>
    <row r="904" spans="1:32">
      <c r="A904" t="s">
        <v>1220</v>
      </c>
      <c r="B904" s="3">
        <v>45760</v>
      </c>
      <c r="C904" t="str">
        <f t="shared" si="127"/>
        <v>April</v>
      </c>
      <c r="D904">
        <f t="shared" si="128"/>
        <v>2025</v>
      </c>
      <c r="E904" s="3">
        <v>45760</v>
      </c>
      <c r="F904">
        <f t="shared" si="126"/>
        <v>0</v>
      </c>
      <c r="G904" t="s">
        <v>1221</v>
      </c>
      <c r="H904" t="s">
        <v>132</v>
      </c>
      <c r="I904" t="s">
        <v>37</v>
      </c>
      <c r="J904" t="s">
        <v>25</v>
      </c>
      <c r="K904" t="s">
        <v>136</v>
      </c>
      <c r="L904" t="s">
        <v>137</v>
      </c>
      <c r="M904" t="s">
        <v>28</v>
      </c>
      <c r="N904" t="s">
        <v>124</v>
      </c>
      <c r="O904" t="s">
        <v>1222</v>
      </c>
      <c r="P904" t="s">
        <v>31</v>
      </c>
      <c r="Q904">
        <v>9</v>
      </c>
      <c r="R904">
        <v>1118.68</v>
      </c>
      <c r="S904" s="6">
        <v>0</v>
      </c>
      <c r="T904" s="6">
        <f t="shared" si="129"/>
        <v>0</v>
      </c>
      <c r="U904">
        <v>10348.43</v>
      </c>
      <c r="V904">
        <f t="shared" si="130"/>
        <v>10068.120000000001</v>
      </c>
      <c r="W904" s="6">
        <f t="shared" si="131"/>
        <v>-280.30999999999949</v>
      </c>
      <c r="X904">
        <v>8595.3700000000008</v>
      </c>
      <c r="Y904">
        <v>1472.75</v>
      </c>
      <c r="Z904">
        <f t="shared" si="132"/>
        <v>1472.75</v>
      </c>
      <c r="AA904" s="6">
        <f t="shared" si="133"/>
        <v>0</v>
      </c>
      <c r="AB904">
        <f t="shared" si="134"/>
        <v>0.14627855051389932</v>
      </c>
      <c r="AC904" t="s">
        <v>32</v>
      </c>
      <c r="AD904" t="s">
        <v>103</v>
      </c>
      <c r="AE904" t="s">
        <v>2826</v>
      </c>
      <c r="AF904" s="10" t="s">
        <v>2822</v>
      </c>
    </row>
    <row r="905" spans="1:32">
      <c r="A905" t="s">
        <v>778</v>
      </c>
      <c r="B905" s="3">
        <v>45932</v>
      </c>
      <c r="C905" t="str">
        <f t="shared" si="127"/>
        <v>October</v>
      </c>
      <c r="D905">
        <f t="shared" si="128"/>
        <v>2025</v>
      </c>
      <c r="E905" s="3">
        <v>45879</v>
      </c>
      <c r="F905">
        <f t="shared" si="126"/>
        <v>-53</v>
      </c>
      <c r="G905" t="s">
        <v>779</v>
      </c>
      <c r="H905" t="s">
        <v>47</v>
      </c>
      <c r="I905" t="s">
        <v>37</v>
      </c>
      <c r="J905" t="s">
        <v>25</v>
      </c>
      <c r="K905" t="s">
        <v>122</v>
      </c>
      <c r="L905" t="s">
        <v>123</v>
      </c>
      <c r="M905" t="s">
        <v>41</v>
      </c>
      <c r="N905" t="s">
        <v>57</v>
      </c>
      <c r="O905" t="s">
        <v>780</v>
      </c>
      <c r="P905" t="s">
        <v>59</v>
      </c>
      <c r="Q905">
        <v>4</v>
      </c>
      <c r="R905">
        <v>3944.64</v>
      </c>
      <c r="S905" s="6">
        <v>0.25</v>
      </c>
      <c r="T905" s="6">
        <f t="shared" si="129"/>
        <v>0.25</v>
      </c>
      <c r="U905">
        <v>12116.89</v>
      </c>
      <c r="V905">
        <f t="shared" si="130"/>
        <v>11833.92</v>
      </c>
      <c r="W905" s="6">
        <f t="shared" si="131"/>
        <v>-282.96999999999935</v>
      </c>
      <c r="X905">
        <v>6682.92</v>
      </c>
      <c r="Y905">
        <v>5151</v>
      </c>
      <c r="Z905">
        <f t="shared" si="132"/>
        <v>5151</v>
      </c>
      <c r="AA905" s="6">
        <f t="shared" si="133"/>
        <v>0</v>
      </c>
      <c r="AB905">
        <f t="shared" si="134"/>
        <v>0.43527419485681834</v>
      </c>
      <c r="AC905" t="s">
        <v>32</v>
      </c>
      <c r="AD905" t="s">
        <v>103</v>
      </c>
      <c r="AE905" t="s">
        <v>2826</v>
      </c>
      <c r="AF905" s="10" t="s">
        <v>2817</v>
      </c>
    </row>
    <row r="906" spans="1:32">
      <c r="A906" t="s">
        <v>1046</v>
      </c>
      <c r="B906" s="3">
        <v>45795</v>
      </c>
      <c r="C906" t="str">
        <f t="shared" si="127"/>
        <v>May</v>
      </c>
      <c r="D906">
        <f t="shared" si="128"/>
        <v>2025</v>
      </c>
      <c r="E906" s="3">
        <v>45797</v>
      </c>
      <c r="F906">
        <f t="shared" si="126"/>
        <v>2</v>
      </c>
      <c r="G906" t="s">
        <v>1047</v>
      </c>
      <c r="H906" t="s">
        <v>47</v>
      </c>
      <c r="I906" t="s">
        <v>90</v>
      </c>
      <c r="J906" t="s">
        <v>63</v>
      </c>
      <c r="K906" t="s">
        <v>72</v>
      </c>
      <c r="L906" t="s">
        <v>73</v>
      </c>
      <c r="M906" t="s">
        <v>28</v>
      </c>
      <c r="N906" t="s">
        <v>91</v>
      </c>
      <c r="O906" t="s">
        <v>1048</v>
      </c>
      <c r="P906" t="s">
        <v>59</v>
      </c>
      <c r="Q906">
        <v>9</v>
      </c>
      <c r="R906">
        <v>847.76</v>
      </c>
      <c r="S906" s="6">
        <v>0.15</v>
      </c>
      <c r="T906" s="6">
        <f t="shared" si="129"/>
        <v>0.15</v>
      </c>
      <c r="U906">
        <v>6589.37</v>
      </c>
      <c r="V906">
        <f t="shared" si="130"/>
        <v>6485.3639999999996</v>
      </c>
      <c r="W906" s="6">
        <f t="shared" si="131"/>
        <v>-104.00600000000031</v>
      </c>
      <c r="X906">
        <v>5376.17</v>
      </c>
      <c r="Y906">
        <v>1109.19</v>
      </c>
      <c r="Z906">
        <f t="shared" si="132"/>
        <v>1109.1939999999995</v>
      </c>
      <c r="AA906" s="6">
        <f t="shared" si="133"/>
        <v>3.9999999994506652E-3</v>
      </c>
      <c r="AB906">
        <f t="shared" si="134"/>
        <v>0.17103033846673826</v>
      </c>
      <c r="AC906" t="s">
        <v>155</v>
      </c>
      <c r="AD906" t="s">
        <v>33</v>
      </c>
      <c r="AE906" t="s">
        <v>2826</v>
      </c>
      <c r="AF906" s="10" t="s">
        <v>2801</v>
      </c>
    </row>
    <row r="907" spans="1:32">
      <c r="A907" t="s">
        <v>618</v>
      </c>
      <c r="B907" s="3">
        <v>45847</v>
      </c>
      <c r="C907" t="str">
        <f t="shared" si="127"/>
        <v>July</v>
      </c>
      <c r="D907">
        <f t="shared" si="128"/>
        <v>2025</v>
      </c>
      <c r="E907" s="3">
        <v>45915</v>
      </c>
      <c r="F907">
        <f t="shared" si="126"/>
        <v>68</v>
      </c>
      <c r="G907" t="s">
        <v>619</v>
      </c>
      <c r="H907" t="s">
        <v>141</v>
      </c>
      <c r="I907" t="s">
        <v>90</v>
      </c>
      <c r="J907" t="s">
        <v>38</v>
      </c>
      <c r="K907" t="s">
        <v>145</v>
      </c>
      <c r="L907" t="s">
        <v>146</v>
      </c>
      <c r="M907" t="s">
        <v>74</v>
      </c>
      <c r="N907" t="s">
        <v>80</v>
      </c>
      <c r="O907" t="s">
        <v>620</v>
      </c>
      <c r="P907" t="s">
        <v>59</v>
      </c>
      <c r="Q907">
        <v>3</v>
      </c>
      <c r="R907">
        <v>1711.32</v>
      </c>
      <c r="S907" s="6">
        <v>0</v>
      </c>
      <c r="T907" s="6">
        <f t="shared" si="129"/>
        <v>0</v>
      </c>
      <c r="U907">
        <v>5206.53</v>
      </c>
      <c r="V907">
        <f t="shared" si="130"/>
        <v>5133.96</v>
      </c>
      <c r="W907" s="6">
        <f t="shared" si="131"/>
        <v>-72.569999999999709</v>
      </c>
      <c r="X907">
        <v>3930</v>
      </c>
      <c r="Y907">
        <v>1203.96</v>
      </c>
      <c r="Z907">
        <f t="shared" si="132"/>
        <v>1203.96</v>
      </c>
      <c r="AA907" s="6">
        <f t="shared" si="133"/>
        <v>0</v>
      </c>
      <c r="AB907">
        <f t="shared" si="134"/>
        <v>0.23450903396208775</v>
      </c>
      <c r="AC907" t="s">
        <v>32</v>
      </c>
      <c r="AD907" t="s">
        <v>103</v>
      </c>
      <c r="AE907" t="s">
        <v>2826</v>
      </c>
      <c r="AF907" s="10" t="s">
        <v>2822</v>
      </c>
    </row>
    <row r="908" spans="1:32">
      <c r="A908" t="s">
        <v>1369</v>
      </c>
      <c r="B908" s="3">
        <v>45342</v>
      </c>
      <c r="C908" t="str">
        <f t="shared" si="127"/>
        <v>February</v>
      </c>
      <c r="D908">
        <f t="shared" si="128"/>
        <v>2024</v>
      </c>
      <c r="E908" s="3">
        <v>45349</v>
      </c>
      <c r="F908">
        <f t="shared" si="126"/>
        <v>7</v>
      </c>
      <c r="G908" t="s">
        <v>1370</v>
      </c>
      <c r="H908" t="s">
        <v>162</v>
      </c>
      <c r="I908" t="s">
        <v>24</v>
      </c>
      <c r="J908" t="s">
        <v>54</v>
      </c>
      <c r="K908" t="s">
        <v>185</v>
      </c>
      <c r="L908" t="s">
        <v>186</v>
      </c>
      <c r="M908" t="s">
        <v>74</v>
      </c>
      <c r="N908" t="s">
        <v>75</v>
      </c>
      <c r="O908" t="s">
        <v>1371</v>
      </c>
      <c r="P908" t="s">
        <v>50</v>
      </c>
      <c r="Q908">
        <v>9</v>
      </c>
      <c r="R908">
        <v>3779.31</v>
      </c>
      <c r="S908" s="6">
        <v>0.2</v>
      </c>
      <c r="T908" s="6">
        <f t="shared" si="129"/>
        <v>0.2</v>
      </c>
      <c r="U908">
        <v>27322.9</v>
      </c>
      <c r="V908">
        <f t="shared" si="130"/>
        <v>27211.032000000003</v>
      </c>
      <c r="W908" s="6">
        <f t="shared" si="131"/>
        <v>-111.86799999999857</v>
      </c>
      <c r="X908">
        <v>17940.43</v>
      </c>
      <c r="Y908">
        <v>9270.6</v>
      </c>
      <c r="Z908">
        <f t="shared" si="132"/>
        <v>9270.6020000000026</v>
      </c>
      <c r="AA908" s="6">
        <f t="shared" si="133"/>
        <v>2.000000002226443E-3</v>
      </c>
      <c r="AB908">
        <f t="shared" si="134"/>
        <v>0.34069277490100347</v>
      </c>
      <c r="AC908" t="s">
        <v>32</v>
      </c>
      <c r="AD908" t="s">
        <v>103</v>
      </c>
      <c r="AE908" t="s">
        <v>2826</v>
      </c>
      <c r="AF908" s="10" t="s">
        <v>2822</v>
      </c>
    </row>
    <row r="909" spans="1:32">
      <c r="A909" t="s">
        <v>1807</v>
      </c>
      <c r="B909" s="3">
        <v>45932</v>
      </c>
      <c r="C909" t="str">
        <f t="shared" si="127"/>
        <v>October</v>
      </c>
      <c r="D909">
        <f t="shared" si="128"/>
        <v>2025</v>
      </c>
      <c r="E909" s="3">
        <v>45702</v>
      </c>
      <c r="F909">
        <f t="shared" si="126"/>
        <v>-230</v>
      </c>
      <c r="G909" t="s">
        <v>1808</v>
      </c>
      <c r="H909" t="s">
        <v>114</v>
      </c>
      <c r="I909" t="s">
        <v>37</v>
      </c>
      <c r="J909" t="s">
        <v>25</v>
      </c>
      <c r="K909" t="s">
        <v>136</v>
      </c>
      <c r="L909" t="s">
        <v>137</v>
      </c>
      <c r="M909" t="s">
        <v>74</v>
      </c>
      <c r="N909" t="s">
        <v>171</v>
      </c>
      <c r="O909" t="s">
        <v>1809</v>
      </c>
      <c r="P909" t="s">
        <v>2781</v>
      </c>
      <c r="Q909">
        <v>5</v>
      </c>
      <c r="R909">
        <v>4276.29</v>
      </c>
      <c r="S909" s="6">
        <v>0</v>
      </c>
      <c r="T909" s="6">
        <f t="shared" si="129"/>
        <v>0</v>
      </c>
      <c r="U909">
        <v>21443.63</v>
      </c>
      <c r="V909">
        <f t="shared" si="130"/>
        <v>21381.45</v>
      </c>
      <c r="W909" s="6">
        <f t="shared" si="131"/>
        <v>-62.180000000000291</v>
      </c>
      <c r="X909">
        <v>13240.21</v>
      </c>
      <c r="Y909">
        <v>8141.24</v>
      </c>
      <c r="Z909">
        <f t="shared" si="132"/>
        <v>8141.2400000000016</v>
      </c>
      <c r="AA909" s="6">
        <f t="shared" si="133"/>
        <v>0</v>
      </c>
      <c r="AB909">
        <f t="shared" si="134"/>
        <v>0.38076182859441249</v>
      </c>
      <c r="AC909" t="s">
        <v>155</v>
      </c>
      <c r="AD909" t="s">
        <v>33</v>
      </c>
      <c r="AE909" t="s">
        <v>2826</v>
      </c>
      <c r="AF909" s="10" t="s">
        <v>2836</v>
      </c>
    </row>
    <row r="910" spans="1:32">
      <c r="A910" t="s">
        <v>535</v>
      </c>
      <c r="B910" s="3">
        <v>45381</v>
      </c>
      <c r="C910" t="str">
        <f t="shared" si="127"/>
        <v>March</v>
      </c>
      <c r="D910">
        <f t="shared" si="128"/>
        <v>2024</v>
      </c>
      <c r="E910" s="3">
        <v>45377</v>
      </c>
      <c r="F910">
        <f t="shared" si="126"/>
        <v>-4</v>
      </c>
      <c r="G910" t="s">
        <v>536</v>
      </c>
      <c r="H910" t="s">
        <v>89</v>
      </c>
      <c r="I910" t="s">
        <v>95</v>
      </c>
      <c r="J910" t="s">
        <v>25</v>
      </c>
      <c r="K910" t="s">
        <v>26</v>
      </c>
      <c r="L910" t="s">
        <v>27</v>
      </c>
      <c r="M910" t="s">
        <v>74</v>
      </c>
      <c r="N910" t="s">
        <v>171</v>
      </c>
      <c r="O910" t="s">
        <v>537</v>
      </c>
      <c r="P910" t="s">
        <v>31</v>
      </c>
      <c r="Q910">
        <v>5</v>
      </c>
      <c r="R910">
        <v>907.54</v>
      </c>
      <c r="S910" s="6">
        <v>0.15</v>
      </c>
      <c r="T910" s="6">
        <f t="shared" si="129"/>
        <v>0.15</v>
      </c>
      <c r="U910">
        <v>4099.6899999999996</v>
      </c>
      <c r="V910">
        <f t="shared" si="130"/>
        <v>3857.0449999999996</v>
      </c>
      <c r="W910" s="6">
        <f t="shared" si="131"/>
        <v>-242.64499999999998</v>
      </c>
      <c r="X910">
        <v>2769.26</v>
      </c>
      <c r="Y910">
        <v>1087.78</v>
      </c>
      <c r="Z910">
        <f t="shared" si="132"/>
        <v>1087.7849999999994</v>
      </c>
      <c r="AA910" s="6">
        <f t="shared" si="133"/>
        <v>4.9999999994270183E-3</v>
      </c>
      <c r="AB910">
        <f t="shared" si="134"/>
        <v>0.28202548842442843</v>
      </c>
      <c r="AC910" t="s">
        <v>32</v>
      </c>
      <c r="AD910" t="s">
        <v>103</v>
      </c>
      <c r="AE910" t="s">
        <v>2826</v>
      </c>
      <c r="AF910" s="10" t="s">
        <v>2817</v>
      </c>
    </row>
    <row r="911" spans="1:32">
      <c r="A911" t="s">
        <v>921</v>
      </c>
      <c r="B911" s="3">
        <v>45522</v>
      </c>
      <c r="C911" t="str">
        <f t="shared" si="127"/>
        <v>August</v>
      </c>
      <c r="D911">
        <f t="shared" si="128"/>
        <v>2024</v>
      </c>
      <c r="E911" s="3">
        <v>45528</v>
      </c>
      <c r="F911">
        <f t="shared" si="126"/>
        <v>6</v>
      </c>
      <c r="G911" t="s">
        <v>922</v>
      </c>
      <c r="H911" t="s">
        <v>53</v>
      </c>
      <c r="I911" t="s">
        <v>24</v>
      </c>
      <c r="J911" t="s">
        <v>54</v>
      </c>
      <c r="K911" t="s">
        <v>84</v>
      </c>
      <c r="L911" t="s">
        <v>85</v>
      </c>
      <c r="M911" t="s">
        <v>41</v>
      </c>
      <c r="N911" t="s">
        <v>66</v>
      </c>
      <c r="O911" t="s">
        <v>923</v>
      </c>
      <c r="P911" t="s">
        <v>50</v>
      </c>
      <c r="Q911">
        <v>7</v>
      </c>
      <c r="R911">
        <v>557.21</v>
      </c>
      <c r="S911" s="6">
        <v>0.1</v>
      </c>
      <c r="T911" s="6">
        <f t="shared" si="129"/>
        <v>0.1</v>
      </c>
      <c r="U911">
        <v>3797.79</v>
      </c>
      <c r="V911">
        <f t="shared" si="130"/>
        <v>3510.4230000000002</v>
      </c>
      <c r="W911" s="6">
        <f t="shared" si="131"/>
        <v>-287.36699999999973</v>
      </c>
      <c r="X911">
        <v>2191.5</v>
      </c>
      <c r="Y911">
        <v>1213.48</v>
      </c>
      <c r="Z911">
        <f t="shared" si="132"/>
        <v>1318.9230000000002</v>
      </c>
      <c r="AA911" s="6">
        <f t="shared" si="133"/>
        <v>105.44300000000021</v>
      </c>
      <c r="AB911">
        <f t="shared" si="134"/>
        <v>0.37571625983535323</v>
      </c>
      <c r="AC911" t="s">
        <v>32</v>
      </c>
      <c r="AD911" t="s">
        <v>103</v>
      </c>
      <c r="AE911" t="s">
        <v>2826</v>
      </c>
      <c r="AF911" s="10" t="s">
        <v>2822</v>
      </c>
    </row>
    <row r="912" spans="1:32">
      <c r="A912" t="s">
        <v>478</v>
      </c>
      <c r="B912" s="3">
        <v>45436</v>
      </c>
      <c r="C912" t="str">
        <f t="shared" si="127"/>
        <v>May</v>
      </c>
      <c r="D912">
        <f t="shared" si="128"/>
        <v>2024</v>
      </c>
      <c r="E912" s="3">
        <v>45437</v>
      </c>
      <c r="F912">
        <f t="shared" si="126"/>
        <v>1</v>
      </c>
      <c r="G912" t="s">
        <v>479</v>
      </c>
      <c r="H912" t="s">
        <v>132</v>
      </c>
      <c r="I912" t="s">
        <v>37</v>
      </c>
      <c r="J912" t="s">
        <v>25</v>
      </c>
      <c r="K912" t="s">
        <v>122</v>
      </c>
      <c r="L912" t="s">
        <v>123</v>
      </c>
      <c r="M912" t="s">
        <v>74</v>
      </c>
      <c r="N912" t="s">
        <v>80</v>
      </c>
      <c r="O912" t="s">
        <v>480</v>
      </c>
      <c r="P912" t="s">
        <v>44</v>
      </c>
      <c r="Q912">
        <v>1</v>
      </c>
      <c r="R912">
        <v>634.13</v>
      </c>
      <c r="S912" s="6">
        <v>0</v>
      </c>
      <c r="T912" s="6">
        <f t="shared" si="129"/>
        <v>0</v>
      </c>
      <c r="U912">
        <v>808.67</v>
      </c>
      <c r="V912">
        <f t="shared" si="130"/>
        <v>634.13</v>
      </c>
      <c r="W912" s="6">
        <f t="shared" si="131"/>
        <v>-174.53999999999996</v>
      </c>
      <c r="X912">
        <v>453.35</v>
      </c>
      <c r="Y912">
        <v>180.78</v>
      </c>
      <c r="Z912">
        <f t="shared" si="132"/>
        <v>180.77999999999997</v>
      </c>
      <c r="AA912" s="6">
        <f t="shared" si="133"/>
        <v>0</v>
      </c>
      <c r="AB912">
        <f t="shared" si="134"/>
        <v>0.28508350022865969</v>
      </c>
      <c r="AC912" t="s">
        <v>102</v>
      </c>
      <c r="AD912" t="s">
        <v>103</v>
      </c>
      <c r="AE912" t="s">
        <v>2826</v>
      </c>
      <c r="AF912" s="10" t="s">
        <v>2810</v>
      </c>
    </row>
    <row r="913" spans="1:32">
      <c r="A913" t="s">
        <v>1108</v>
      </c>
      <c r="B913" s="3">
        <v>45824</v>
      </c>
      <c r="C913" t="str">
        <f t="shared" si="127"/>
        <v>June</v>
      </c>
      <c r="D913">
        <f t="shared" si="128"/>
        <v>2025</v>
      </c>
      <c r="E913" s="3">
        <v>45826</v>
      </c>
      <c r="F913">
        <f t="shared" si="126"/>
        <v>2</v>
      </c>
      <c r="G913" t="s">
        <v>1109</v>
      </c>
      <c r="H913" t="s">
        <v>118</v>
      </c>
      <c r="I913" t="s">
        <v>95</v>
      </c>
      <c r="J913" t="s">
        <v>63</v>
      </c>
      <c r="K913" t="s">
        <v>72</v>
      </c>
      <c r="L913" t="s">
        <v>73</v>
      </c>
      <c r="M913" t="s">
        <v>28</v>
      </c>
      <c r="N913" t="s">
        <v>29</v>
      </c>
      <c r="O913" t="s">
        <v>1110</v>
      </c>
      <c r="P913" t="s">
        <v>50</v>
      </c>
      <c r="Q913">
        <v>3</v>
      </c>
      <c r="R913">
        <v>4289.37</v>
      </c>
      <c r="S913" s="6">
        <v>0.1</v>
      </c>
      <c r="T913" s="6">
        <f t="shared" si="129"/>
        <v>0.1</v>
      </c>
      <c r="U913">
        <v>11778.71</v>
      </c>
      <c r="V913">
        <f t="shared" si="130"/>
        <v>11581.299000000001</v>
      </c>
      <c r="W913" s="6">
        <f t="shared" si="131"/>
        <v>-197.41099999999824</v>
      </c>
      <c r="X913">
        <v>6829.43</v>
      </c>
      <c r="Y913">
        <v>4751.87</v>
      </c>
      <c r="Z913">
        <f t="shared" si="132"/>
        <v>4751.8690000000006</v>
      </c>
      <c r="AA913" s="6">
        <f t="shared" si="133"/>
        <v>-9.9999999929423211E-4</v>
      </c>
      <c r="AB913">
        <f t="shared" si="134"/>
        <v>0.41030535521101735</v>
      </c>
      <c r="AC913" t="s">
        <v>32</v>
      </c>
      <c r="AD913" t="s">
        <v>103</v>
      </c>
      <c r="AE913" t="s">
        <v>2826</v>
      </c>
      <c r="AF913" s="10" t="s">
        <v>2822</v>
      </c>
    </row>
    <row r="914" spans="1:32">
      <c r="E914"/>
    </row>
    <row r="915" spans="1:32">
      <c r="E915"/>
    </row>
    <row r="916" spans="1:32">
      <c r="E916"/>
    </row>
    <row r="917" spans="1:32">
      <c r="E917"/>
    </row>
    <row r="918" spans="1:32">
      <c r="E918"/>
    </row>
    <row r="919" spans="1:32">
      <c r="E919"/>
    </row>
    <row r="920" spans="1:32">
      <c r="E920"/>
    </row>
    <row r="921" spans="1:32">
      <c r="E921"/>
    </row>
    <row r="922" spans="1:32">
      <c r="E922"/>
    </row>
    <row r="923" spans="1:32">
      <c r="E923"/>
    </row>
    <row r="924" spans="1:32">
      <c r="E924"/>
    </row>
    <row r="925" spans="1:32">
      <c r="E925"/>
    </row>
    <row r="926" spans="1:32">
      <c r="E926"/>
    </row>
    <row r="927" spans="1:32">
      <c r="E927"/>
    </row>
    <row r="928" spans="1:32">
      <c r="E928"/>
    </row>
    <row r="929" spans="5:5">
      <c r="E929"/>
    </row>
    <row r="930" spans="5:5">
      <c r="E930"/>
    </row>
    <row r="931" spans="5:5">
      <c r="E931"/>
    </row>
    <row r="932" spans="5:5">
      <c r="E932"/>
    </row>
    <row r="933" spans="5:5">
      <c r="E933"/>
    </row>
  </sheetData>
  <autoFilter ref="A1:AF913" xr:uid="{00000000-0001-0000-0000-000000000000}"/>
  <conditionalFormatting sqref="A1:A1048576">
    <cfRule type="duplicateValues" dxfId="8" priority="9"/>
  </conditionalFormatting>
  <conditionalFormatting sqref="E1:E1048576">
    <cfRule type="expression" dxfId="7" priority="1">
      <formula>F1&lt;0</formula>
    </cfRule>
  </conditionalFormatting>
  <conditionalFormatting sqref="F2:F1048576">
    <cfRule type="cellIs" dxfId="6" priority="5" operator="greaterThan">
      <formula>9</formula>
    </cfRule>
    <cfRule type="cellIs" dxfId="5" priority="6" operator="lessThan">
      <formula>0</formula>
    </cfRule>
  </conditionalFormatting>
  <conditionalFormatting sqref="S21:S858">
    <cfRule type="cellIs" dxfId="4" priority="8" operator="lessThan">
      <formula>0</formula>
    </cfRule>
  </conditionalFormatting>
  <conditionalFormatting sqref="S119:S681">
    <cfRule type="cellIs" dxfId="3" priority="7" operator="greaterThan">
      <formula>0.69</formula>
    </cfRule>
  </conditionalFormatting>
  <conditionalFormatting sqref="AC1:AC1048576">
    <cfRule type="containsText" dxfId="2" priority="4" operator="containsText" text="Failed">
      <formula>NOT(ISERROR(SEARCH("Failed",AC1)))</formula>
    </cfRule>
  </conditionalFormatting>
  <conditionalFormatting sqref="AD1 AD2:AE1048576 AF36 AF100 AF201 AF235 AF404 AF407 AF482 AF533 AF698 AF706 AF753 AF775:AF776">
    <cfRule type="containsText" dxfId="1" priority="3" operator="containsText" text="Cancelled">
      <formula>NOT(ISERROR(SEARCH("Cancelled",AD1)))</formula>
    </cfRule>
  </conditionalFormatting>
  <conditionalFormatting sqref="AE1:AF1">
    <cfRule type="containsText" dxfId="0" priority="2" operator="containsText" text="Cancelled">
      <formula>NOT(ISERROR(SEARCH("Cancelled",AE1)))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"/>
    </sheetView>
  </sheetViews>
  <sheetFormatPr defaultRowHeight="14.25"/>
  <cols>
    <col min="1" max="2" width="28" customWidth="1"/>
  </cols>
  <sheetData>
    <row r="1" spans="1:2" ht="27.95" customHeight="1">
      <c r="A1" s="1" t="s">
        <v>2760</v>
      </c>
      <c r="B1" s="1" t="s">
        <v>2761</v>
      </c>
    </row>
    <row r="2" spans="1:2" ht="42.75">
      <c r="A2" s="2" t="s">
        <v>2762</v>
      </c>
      <c r="B2" s="2" t="s">
        <v>2763</v>
      </c>
    </row>
    <row r="3" spans="1:2" ht="28.5">
      <c r="A3" s="2" t="s">
        <v>2764</v>
      </c>
      <c r="B3" s="2" t="s">
        <v>2765</v>
      </c>
    </row>
    <row r="4" spans="1:2" ht="28.5">
      <c r="A4" s="2" t="s">
        <v>2766</v>
      </c>
      <c r="B4" s="2" t="s">
        <v>2765</v>
      </c>
    </row>
    <row r="5" spans="1:2" ht="28.5">
      <c r="A5" s="2" t="s">
        <v>2767</v>
      </c>
      <c r="B5" s="2" t="s">
        <v>2768</v>
      </c>
    </row>
    <row r="6" spans="1:2" ht="42.75">
      <c r="A6" s="2" t="s">
        <v>2769</v>
      </c>
      <c r="B6" s="2" t="s">
        <v>2770</v>
      </c>
    </row>
    <row r="7" spans="1:2" ht="57">
      <c r="A7" s="2" t="s">
        <v>2771</v>
      </c>
      <c r="B7" s="2" t="s">
        <v>2772</v>
      </c>
    </row>
    <row r="8" spans="1:2" ht="28.5">
      <c r="A8" s="2" t="s">
        <v>2773</v>
      </c>
      <c r="B8" s="2" t="s">
        <v>2774</v>
      </c>
    </row>
    <row r="9" spans="1:2" ht="42.75">
      <c r="A9" s="2" t="s">
        <v>2775</v>
      </c>
      <c r="B9" s="2" t="s">
        <v>2776</v>
      </c>
    </row>
    <row r="10" spans="1:2" ht="71.25">
      <c r="A10" s="2" t="s">
        <v>2777</v>
      </c>
      <c r="B10" s="2" t="s">
        <v>2778</v>
      </c>
    </row>
    <row r="11" spans="1:2" ht="42.75">
      <c r="A11" s="2" t="s">
        <v>2779</v>
      </c>
      <c r="B11" s="2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2026-06-18T06:35:54Z</dcterms:created>
  <dcterms:modified xsi:type="dcterms:W3CDTF">2026-06-25T16:31:20Z</dcterms:modified>
</cp:coreProperties>
</file>